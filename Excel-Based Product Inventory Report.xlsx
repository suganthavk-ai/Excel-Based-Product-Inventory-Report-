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F:\DATA ANALYTICS - PDF\Assignment\Assignment 2 - Excel\"/>
    </mc:Choice>
  </mc:AlternateContent>
  <xr:revisionPtr revIDLastSave="0" documentId="13_ncr:1_{09AA712A-DEEC-4680-869E-4B938B0ACE41}" xr6:coauthVersionLast="47" xr6:coauthVersionMax="47" xr10:uidLastSave="{00000000-0000-0000-0000-000000000000}"/>
  <bookViews>
    <workbookView xWindow="-120" yWindow="-120" windowWidth="20730" windowHeight="11310" xr2:uid="{00000000-000D-0000-FFFF-FFFF00000000}"/>
  </bookViews>
  <sheets>
    <sheet name="Datas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5" roundtripDataChecksum="BodJfdMhecajOq6LlLlgHL1ilCo0qenb8UNpbolXvAE="/>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alcChain>
</file>

<file path=xl/sharedStrings.xml><?xml version="1.0" encoding="utf-8"?>
<sst xmlns="http://schemas.openxmlformats.org/spreadsheetml/2006/main" count="219" uniqueCount="178">
  <si>
    <t>Product ID</t>
  </si>
  <si>
    <t>Product Name</t>
  </si>
  <si>
    <t>Brand Name</t>
  </si>
  <si>
    <t>Price ($)</t>
  </si>
  <si>
    <t>Quantity</t>
  </si>
  <si>
    <t>Category</t>
  </si>
  <si>
    <t>28-JAN-US</t>
  </si>
  <si>
    <t>Dell</t>
  </si>
  <si>
    <t>Electronics</t>
  </si>
  <si>
    <t>15-FEB-US</t>
  </si>
  <si>
    <t>Sneakers</t>
  </si>
  <si>
    <t>Nike</t>
  </si>
  <si>
    <t>Fashion</t>
  </si>
  <si>
    <t>03-MAR-US</t>
  </si>
  <si>
    <t>Coffee Maker</t>
  </si>
  <si>
    <t>Keurig</t>
  </si>
  <si>
    <t>Kitchen</t>
  </si>
  <si>
    <t>11-APR-US</t>
  </si>
  <si>
    <t>Samsung</t>
  </si>
  <si>
    <t>22-MAY-US</t>
  </si>
  <si>
    <t>Backpack</t>
  </si>
  <si>
    <t>North Face</t>
  </si>
  <si>
    <t>07-JUN-UK</t>
  </si>
  <si>
    <t>Headphones</t>
  </si>
  <si>
    <t>Sony</t>
  </si>
  <si>
    <t>19-JUL-UK</t>
  </si>
  <si>
    <t>Adidas</t>
  </si>
  <si>
    <t>23-AUG-UK</t>
  </si>
  <si>
    <t>Blender</t>
  </si>
  <si>
    <t>Ninja</t>
  </si>
  <si>
    <t>05-SEP-UK</t>
  </si>
  <si>
    <t>Tablet</t>
  </si>
  <si>
    <t>Apple</t>
  </si>
  <si>
    <t>14-OCT-UK</t>
  </si>
  <si>
    <t>Hiking Boots</t>
  </si>
  <si>
    <t>Timberland</t>
  </si>
  <si>
    <t>Outdoor</t>
  </si>
  <si>
    <t>17-JUN-IN</t>
  </si>
  <si>
    <t>Laptop</t>
  </si>
  <si>
    <t>HP</t>
  </si>
  <si>
    <t>25-NOV-AU</t>
  </si>
  <si>
    <t>08-DEC-DE</t>
  </si>
  <si>
    <t>Nespresso</t>
  </si>
  <si>
    <t>18-FEB-CA</t>
  </si>
  <si>
    <t>Smartwatch</t>
  </si>
  <si>
    <t>Fitbit</t>
  </si>
  <si>
    <t>16-APR-ES</t>
  </si>
  <si>
    <t>Bose</t>
  </si>
  <si>
    <t>21-AUG-CA</t>
  </si>
  <si>
    <t>Laptop Bag</t>
  </si>
  <si>
    <t>Samsonite</t>
  </si>
  <si>
    <t>Accessories</t>
  </si>
  <si>
    <t>20-AUG-CN</t>
  </si>
  <si>
    <t>Huawei</t>
  </si>
  <si>
    <t>27-JAN-IT</t>
  </si>
  <si>
    <t>Asus</t>
  </si>
  <si>
    <t>01-MAR-UK</t>
  </si>
  <si>
    <t>Sunglasses</t>
  </si>
  <si>
    <t>Oakley</t>
  </si>
  <si>
    <t>14-AUG-US</t>
  </si>
  <si>
    <t>Camping Tent</t>
  </si>
  <si>
    <t>Coleman</t>
  </si>
  <si>
    <t>14-MAY-RU</t>
  </si>
  <si>
    <t>Camera</t>
  </si>
  <si>
    <t>Nikon</t>
  </si>
  <si>
    <t>09-JAN-CA</t>
  </si>
  <si>
    <t>Microwave</t>
  </si>
  <si>
    <t>Panasonic</t>
  </si>
  <si>
    <t>19-JUL-BR</t>
  </si>
  <si>
    <t>Fitness Tracker</t>
  </si>
  <si>
    <t>Xiaomi</t>
  </si>
  <si>
    <t>29-SEP-CA</t>
  </si>
  <si>
    <t>Smartphone</t>
  </si>
  <si>
    <t>Google</t>
  </si>
  <si>
    <t>03-JUN-CA</t>
  </si>
  <si>
    <t>Ray-Ban</t>
  </si>
  <si>
    <t>11-JUL-CA</t>
  </si>
  <si>
    <t>Vitamix</t>
  </si>
  <si>
    <t>07-MAR-CA</t>
  </si>
  <si>
    <t>Dress</t>
  </si>
  <si>
    <t>Zara</t>
  </si>
  <si>
    <t>13-APR-CA</t>
  </si>
  <si>
    <t>Toaster</t>
  </si>
  <si>
    <t>Hamilton</t>
  </si>
  <si>
    <t>24-MAY-CA</t>
  </si>
  <si>
    <t>Garmin</t>
  </si>
  <si>
    <t>02-DEC-CA</t>
  </si>
  <si>
    <t>Jeans</t>
  </si>
  <si>
    <t>Levi's</t>
  </si>
  <si>
    <t>09-JUL-FR</t>
  </si>
  <si>
    <t>Watch</t>
  </si>
  <si>
    <t>Casio</t>
  </si>
  <si>
    <t>1. Handling Missing Values:</t>
  </si>
  <si>
    <t>A. Check for missing values in the 'Price' column. How would you handle products with missing price information?</t>
  </si>
  <si>
    <t>Average Value</t>
  </si>
  <si>
    <t>B. If there are products with missing categories, propose a strategy to impute or deal with these missing values effectively.</t>
  </si>
  <si>
    <t>2. Correcting Inconsistent Data:</t>
  </si>
  <si>
    <t>A. Identify any inconsistent text formats present in the "Product Name" column.</t>
  </si>
  <si>
    <r>
      <rPr>
        <b/>
        <sz val="10"/>
        <color rgb="FFCC0099"/>
        <rFont val="Arial"/>
        <family val="2"/>
        <scheme val="minor"/>
      </rPr>
      <t>Ans:</t>
    </r>
    <r>
      <rPr>
        <sz val="10"/>
        <color rgb="FF000000"/>
        <rFont val="Arial"/>
        <family val="2"/>
        <scheme val="minor"/>
      </rPr>
      <t xml:space="preserve"> The “Product Name” column was cleaned by using the PROPER, TRIM, and CLEAN functions. This removed extra spaces, unwanted characters, and corrected text formatting to maintain consistency across all product names.</t>
    </r>
  </si>
  <si>
    <t>B. Identify any typos present in the "Category" column.</t>
  </si>
  <si>
    <t>C. Use the find and replace function to standardize the text formats in the "Product Name" column and fix any typos or misspellings in the "Category" column.</t>
  </si>
  <si>
    <t>3. Removing Duplicates:</t>
  </si>
  <si>
    <t>A. Identify any duplicate rows within the dataset based on the entirety of each row, and remove them if any.</t>
  </si>
  <si>
    <t xml:space="preserve">Steps to Remove Duplicate Rows </t>
  </si>
  <si>
    <t>4. Splitting and Merging Data:</t>
  </si>
  <si>
    <t>A. Split the "Product ID" column into two separate columns for " Manufacturing Date" and "Country Code". Remove unnecessary characters, if any.</t>
  </si>
  <si>
    <t>B. Merge the "Brand Name" and "Product Name" columns into one column named "Product Brand".</t>
  </si>
  <si>
    <r>
      <rPr>
        <b/>
        <sz val="10"/>
        <color rgb="FFCC0099"/>
        <rFont val="Arial"/>
        <family val="2"/>
        <scheme val="minor"/>
      </rPr>
      <t xml:space="preserve">Ans: </t>
    </r>
    <r>
      <rPr>
        <sz val="10"/>
        <color rgb="FF000000"/>
        <rFont val="Arial"/>
        <family val="2"/>
        <scheme val="minor"/>
      </rPr>
      <t>The “Brand Name” and “Product Name” columns were merged into a new column named “Product Brand” using the CONCATENATE operator to create a combined product description.</t>
    </r>
  </si>
  <si>
    <t>5. Number Formatting:</t>
  </si>
  <si>
    <t>A. Format the data type of the "Price" column to a currency format.</t>
  </si>
  <si>
    <t xml:space="preserve">Steps to change the data type of price column </t>
  </si>
  <si>
    <r>
      <rPr>
        <b/>
        <sz val="10"/>
        <color rgb="FFCC0099"/>
        <rFont val="Arial"/>
        <family val="2"/>
        <scheme val="minor"/>
      </rPr>
      <t>Ans:</t>
    </r>
    <r>
      <rPr>
        <b/>
        <sz val="10"/>
        <color rgb="FF000000"/>
        <rFont val="Arial"/>
        <family val="2"/>
        <scheme val="minor"/>
      </rPr>
      <t xml:space="preserve"> </t>
    </r>
    <r>
      <rPr>
        <sz val="10"/>
        <color rgb="FF000000"/>
        <rFont val="Arial"/>
        <family val="2"/>
        <scheme val="minor"/>
      </rPr>
      <t>The data type of the “Price” column was changed from text format to currency format using the Format Cells option.</t>
    </r>
  </si>
  <si>
    <t>B. Format the "Manufacturing Date" column to display dates in the "DD-MM-YYYY " format.</t>
  </si>
  <si>
    <t>Steps to Format the “Manufacturing Date” Column into DD-MM-YYYY Format</t>
  </si>
  <si>
    <t>1. Select the Manufacturing Date column.</t>
  </si>
  <si>
    <t>2. Go to the Home tab.</t>
  </si>
  <si>
    <t>3. In the Number section, click the dropdown menu (currently may show General or another format).</t>
  </si>
  <si>
    <t>4. Choose More Number Formats (at the bottom of the list).</t>
  </si>
  <si>
    <t>5. In the Format Cells dialog, go to the Number tab.</t>
  </si>
  <si>
    <t>6. Select Date (or Custom if you want to manually type the format).</t>
  </si>
  <si>
    <t>7. Under Type, choose or type DD-MM-YYYY.</t>
  </si>
  <si>
    <t>8. Click OK.</t>
  </si>
  <si>
    <r>
      <rPr>
        <b/>
        <sz val="10"/>
        <color rgb="FFCC0099"/>
        <rFont val="Arial"/>
        <family val="2"/>
        <scheme val="minor"/>
      </rPr>
      <t>Ans:</t>
    </r>
    <r>
      <rPr>
        <b/>
        <sz val="10"/>
        <color rgb="FF000000"/>
        <rFont val="Arial"/>
        <family val="2"/>
        <scheme val="minor"/>
      </rPr>
      <t xml:space="preserve"> </t>
    </r>
    <r>
      <rPr>
        <sz val="10"/>
        <color rgb="FF000000"/>
        <rFont val="Arial"/>
        <family val="2"/>
        <scheme val="minor"/>
      </rPr>
      <t>The Manufacturing Date column is now formatted to DD-MM format. Since the dataset does not contain year values, all dates are displayed in a consistent and easy-to-read day-month format..</t>
    </r>
  </si>
  <si>
    <t>6. Conditional Formatting:</t>
  </si>
  <si>
    <t>A. Apply data bar or color scales conditional formatting in the "Price" column.</t>
  </si>
  <si>
    <t>Steps to change the colour of the price column using conditional formatting</t>
  </si>
  <si>
    <t>1. Select the Price column.</t>
  </si>
  <si>
    <t>2. Go to the Home tab.</t>
  </si>
  <si>
    <t>3. In the Styles section, Click Conditional Formatting.</t>
  </si>
  <si>
    <t>4. Move the cursor near the Data Bar, a side menu pops out automatically</t>
  </si>
  <si>
    <t>5. From that side menu, select a format that suits the current column (e.g., Blue Gradient Fill or Orange Solid Fill).</t>
  </si>
  <si>
    <r>
      <rPr>
        <b/>
        <sz val="10"/>
        <color rgb="FFCC0099"/>
        <rFont val="Arial"/>
        <family val="2"/>
        <scheme val="minor"/>
      </rPr>
      <t>Ans:</t>
    </r>
    <r>
      <rPr>
        <b/>
        <sz val="10"/>
        <color rgb="FF000000"/>
        <rFont val="Arial"/>
        <family val="2"/>
        <scheme val="minor"/>
      </rPr>
      <t xml:space="preserve"> </t>
    </r>
    <r>
      <rPr>
        <sz val="10"/>
        <color rgb="FF000000"/>
        <rFont val="Arial"/>
        <family val="2"/>
        <scheme val="minor"/>
      </rPr>
      <t xml:space="preserve"> The Data Bar conditional formatting was successfully applied to the Price column. This makes it easier to compare product prices </t>
    </r>
  </si>
  <si>
    <t>B. Create a custom rule for conditional formatting in the "Category" column to highlight cells where the category is "Electronics."</t>
  </si>
  <si>
    <t>Steps to create a custom rule for conditional formatting in the "Category" column</t>
  </si>
  <si>
    <t>1. Select the Category column.</t>
  </si>
  <si>
    <t>4. Move the cursor near the highlight cell rule, a side menu pops out automatically</t>
  </si>
  <si>
    <t>5. From that side menu, select Text that contain.</t>
  </si>
  <si>
    <t>6. In the dialog box, type: Electronics</t>
  </si>
  <si>
    <t>7. Choose a formatting style or custom color to highlight the cells.</t>
  </si>
  <si>
    <r>
      <rPr>
        <b/>
        <sz val="10"/>
        <color rgb="FFCC0099"/>
        <rFont val="Arial"/>
        <family val="2"/>
        <scheme val="minor"/>
      </rPr>
      <t>Ans:</t>
    </r>
    <r>
      <rPr>
        <sz val="10"/>
        <color rgb="FF000000"/>
        <rFont val="Arial"/>
        <scheme val="minor"/>
      </rPr>
      <t xml:space="preserve"> A conditional formatting rule was created in the “Category” column to highlight all cells containing the category “Electronics,” making them easier to identify and analyze.</t>
    </r>
  </si>
  <si>
    <t>Formula a. =AVERAGE((D2:D35))      b. =IF(ISBLANK(D2),AVERAGE($D$2:$D$35),D2)</t>
  </si>
  <si>
    <t>Ans: Missing prices will be replaced with the average price.Existing prices remain unchanged.</t>
  </si>
  <si>
    <t>Formula =IF(ISBLANK(F2),"Unknown",F2)</t>
  </si>
  <si>
    <t>Ans: Missing categories were replaced with "Unknown", while the existing price values remained unchanged.</t>
  </si>
  <si>
    <t>Unknown</t>
  </si>
  <si>
    <t>Formula =PROPER(TRIM(CLEAN(B2)))</t>
  </si>
  <si>
    <t>T-Shirt</t>
  </si>
  <si>
    <t>Steps to find and replace the typos</t>
  </si>
  <si>
    <t>1. Select the Category column</t>
  </si>
  <si>
    <t>2. Go to Home tab</t>
  </si>
  <si>
    <t>3. Go to Editing column, Select Find &amp; Select</t>
  </si>
  <si>
    <t xml:space="preserve">4. Select Replace commend </t>
  </si>
  <si>
    <r>
      <t xml:space="preserve">5. In the </t>
    </r>
    <r>
      <rPr>
        <b/>
        <sz val="10"/>
        <color rgb="FF000000"/>
        <rFont val="Arial"/>
        <scheme val="minor"/>
      </rPr>
      <t>Find what</t>
    </r>
    <r>
      <rPr>
        <sz val="10"/>
        <color rgb="FF000000"/>
        <rFont val="Arial"/>
        <scheme val="minor"/>
      </rPr>
      <t xml:space="preserve"> box, type the incorrect category name (typo).</t>
    </r>
  </si>
  <si>
    <r>
      <t xml:space="preserve">6. In the </t>
    </r>
    <r>
      <rPr>
        <b/>
        <sz val="10"/>
        <color rgb="FF000000"/>
        <rFont val="Arial"/>
        <scheme val="minor"/>
      </rPr>
      <t>Replace with</t>
    </r>
    <r>
      <rPr>
        <sz val="10"/>
        <color rgb="FF000000"/>
        <rFont val="Arial"/>
        <scheme val="minor"/>
      </rPr>
      <t xml:space="preserve"> box, type the correct category name.</t>
    </r>
  </si>
  <si>
    <r>
      <t xml:space="preserve">7. Click </t>
    </r>
    <r>
      <rPr>
        <b/>
        <sz val="10"/>
        <color rgb="FF000000"/>
        <rFont val="Arial"/>
        <scheme val="minor"/>
      </rPr>
      <t>Replace</t>
    </r>
    <r>
      <rPr>
        <sz val="10"/>
        <color rgb="FF000000"/>
        <rFont val="Arial"/>
        <scheme val="minor"/>
      </rPr>
      <t xml:space="preserve"> to correct one entry or </t>
    </r>
    <r>
      <rPr>
        <b/>
        <sz val="10"/>
        <color rgb="FF000000"/>
        <rFont val="Arial"/>
        <scheme val="minor"/>
      </rPr>
      <t>Replace All</t>
    </r>
    <r>
      <rPr>
        <sz val="10"/>
        <color rgb="FF000000"/>
        <rFont val="Arial"/>
        <scheme val="minor"/>
      </rPr>
      <t xml:space="preserve"> to correct all matching entries.</t>
    </r>
  </si>
  <si>
    <t>8. Repeat the process for other typos in the Category column.</t>
  </si>
  <si>
    <r>
      <rPr>
        <b/>
        <sz val="10"/>
        <color rgb="FFCC0099"/>
        <rFont val="Arial"/>
        <family val="2"/>
        <scheme val="minor"/>
      </rPr>
      <t>Ans:</t>
    </r>
    <r>
      <rPr>
        <sz val="10"/>
        <color rgb="FF000000"/>
        <rFont val="Arial"/>
        <family val="2"/>
        <scheme val="minor"/>
      </rPr>
      <t xml:space="preserve"> All typo errors in the Category column were identified and corrected to maintain consistent category names.</t>
    </r>
  </si>
  <si>
    <t>Ans: Yes, there is one typo error in Catogory column</t>
  </si>
  <si>
    <t>1.Select the entire dataset or table.</t>
  </si>
  <si>
    <t>2. Go to the Data tab on the Ribbon.</t>
  </si>
  <si>
    <t>3. Click Remove Duplicates in the Data Tools group.</t>
  </si>
  <si>
    <t>4. A dialog box will appear.</t>
  </si>
  <si>
    <t>5. Select the columns you want to check for duplicates.</t>
  </si>
  <si>
    <t>6. Click OK.</t>
  </si>
  <si>
    <t>7. It will remove the duplicate rows and display the number of duplicates removed and unique values remaining.</t>
  </si>
  <si>
    <r>
      <rPr>
        <b/>
        <sz val="10"/>
        <color rgb="FFCC0099"/>
        <rFont val="Arial"/>
        <family val="2"/>
        <scheme val="minor"/>
      </rPr>
      <t>Ans:</t>
    </r>
    <r>
      <rPr>
        <sz val="10"/>
        <color rgb="FF000000"/>
        <rFont val="Arial"/>
        <family val="2"/>
        <scheme val="minor"/>
      </rPr>
      <t xml:space="preserve"> In this dataset, 3 duplicate rows were found and removed successfully.</t>
    </r>
  </si>
  <si>
    <r>
      <rPr>
        <b/>
        <sz val="10"/>
        <color rgb="FFCC0099"/>
        <rFont val="Arial"/>
        <family val="2"/>
        <scheme val="minor"/>
      </rPr>
      <t>Ans:</t>
    </r>
    <r>
      <rPr>
        <b/>
        <sz val="10"/>
        <color rgb="FF000000"/>
        <rFont val="Arial"/>
        <family val="2"/>
        <scheme val="minor"/>
      </rPr>
      <t xml:space="preserve"> </t>
    </r>
    <r>
      <rPr>
        <sz val="10"/>
        <color rgb="FF000000"/>
        <rFont val="Arial"/>
        <family val="2"/>
        <scheme val="minor"/>
      </rPr>
      <t>Unnecessary spaces and unwanted characters were removed using the TRIM and CLEAN functions. The “Product ID” column was split into two separate columns: “Manufacturing Date” and “Country Code” using LEFT and RIGHT formulas.</t>
    </r>
  </si>
  <si>
    <t>a. Formula =TRIM(CLEAN(A2))    b. Formula =LEFT((A2),6)     c. Formula =RIGHT((A2),2)</t>
  </si>
  <si>
    <t>Product ID2</t>
  </si>
  <si>
    <t>Manufacturing Date</t>
  </si>
  <si>
    <t>Country Code</t>
  </si>
  <si>
    <t>Product Brand</t>
  </si>
  <si>
    <t>Formula =CONCATENATE(B2," - ",C2)</t>
  </si>
  <si>
    <t>3. In the Number group, click the dropdown menu.</t>
  </si>
  <si>
    <t>4. Select Currency or Accounting format.</t>
  </si>
  <si>
    <t>5. Choose the required currency symbol (₹, $, €, etc.).</t>
  </si>
  <si>
    <t xml:space="preserve">6. Adjust decimal places if needed.     </t>
  </si>
  <si>
    <t>7. Click OK or apply the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</si>
</sst>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1" x14ac:knownFonts="1">
    <font>
      <sz val="10"/>
      <color rgb="FF000000"/>
      <name val="Arial"/>
      <scheme val="minor"/>
    </font>
    <font>
      <b/>
      <sz val="10"/>
      <color theme="1"/>
      <name val="Arial"/>
    </font>
    <font>
      <sz val="10"/>
      <color theme="1"/>
      <name val="Arial"/>
    </font>
    <font>
      <b/>
      <sz val="12"/>
      <color theme="1"/>
      <name val="Times New Roman"/>
    </font>
    <font>
      <sz val="12"/>
      <color theme="1"/>
      <name val="Times New Roman"/>
    </font>
    <font>
      <b/>
      <sz val="14"/>
      <color theme="4" tint="-0.249977111117893"/>
      <name val="Arial"/>
      <family val="2"/>
      <scheme val="minor"/>
    </font>
    <font>
      <b/>
      <sz val="10"/>
      <color rgb="FF000000"/>
      <name val="Arial"/>
      <family val="2"/>
      <scheme val="minor"/>
    </font>
    <font>
      <sz val="10"/>
      <color rgb="FF000000"/>
      <name val="Arial"/>
      <family val="2"/>
      <scheme val="minor"/>
    </font>
    <font>
      <b/>
      <sz val="10"/>
      <color rgb="FFCC0099"/>
      <name val="Arial"/>
      <family val="2"/>
      <scheme val="minor"/>
    </font>
    <font>
      <b/>
      <sz val="10"/>
      <color rgb="FF000000"/>
      <name val="Arial"/>
      <scheme val="minor"/>
    </font>
    <font>
      <sz val="8"/>
      <name val="Arial"/>
      <scheme val="minor"/>
    </font>
  </fonts>
  <fills count="5">
    <fill>
      <patternFill patternType="none"/>
    </fill>
    <fill>
      <patternFill patternType="gray125"/>
    </fill>
    <fill>
      <patternFill patternType="solid">
        <fgColor rgb="FF4DD0E1"/>
        <bgColor rgb="FF4DD0E1"/>
      </patternFill>
    </fill>
    <fill>
      <patternFill patternType="solid">
        <fgColor rgb="FFE0F7FA"/>
        <bgColor rgb="FFE0F7FA"/>
      </patternFill>
    </fill>
    <fill>
      <patternFill patternType="solid">
        <fgColor rgb="FFFFC0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16">
    <xf numFmtId="0" fontId="0" fillId="0" borderId="0" xfId="0" applyFont="1" applyAlignment="1"/>
    <xf numFmtId="0" fontId="2" fillId="0" borderId="0" xfId="0" applyFont="1"/>
    <xf numFmtId="0" fontId="2" fillId="3" borderId="0" xfId="0" applyFont="1" applyFill="1"/>
    <xf numFmtId="0" fontId="3" fillId="0" borderId="0" xfId="0" applyFont="1" applyAlignment="1"/>
    <xf numFmtId="0" fontId="2" fillId="0" borderId="0" xfId="0" applyFont="1" applyAlignment="1"/>
    <xf numFmtId="0" fontId="4" fillId="0" borderId="0" xfId="0" applyFont="1" applyAlignment="1"/>
    <xf numFmtId="0" fontId="6" fillId="0" borderId="1" xfId="0" applyFont="1" applyBorder="1"/>
    <xf numFmtId="0" fontId="0" fillId="0" borderId="0" xfId="0"/>
    <xf numFmtId="0" fontId="0" fillId="0" borderId="1" xfId="0" applyBorder="1"/>
    <xf numFmtId="0" fontId="7" fillId="0" borderId="1" xfId="0" applyFont="1" applyBorder="1" applyAlignment="1">
      <alignment horizontal="left" vertical="top" wrapText="1"/>
    </xf>
    <xf numFmtId="0" fontId="6" fillId="0" borderId="0" xfId="0" applyFont="1" applyAlignment="1">
      <alignment vertical="top" wrapText="1"/>
    </xf>
    <xf numFmtId="0" fontId="7" fillId="0" borderId="1" xfId="0" applyFont="1" applyBorder="1"/>
    <xf numFmtId="0" fontId="6" fillId="0" borderId="1" xfId="0" applyFont="1" applyBorder="1" applyAlignment="1">
      <alignment horizontal="left"/>
    </xf>
    <xf numFmtId="0" fontId="6" fillId="4" borderId="1" xfId="0" applyFont="1" applyFill="1" applyBorder="1" applyAlignment="1">
      <alignment horizontal="left"/>
    </xf>
    <xf numFmtId="0" fontId="0" fillId="0" borderId="3" xfId="0" applyBorder="1" applyAlignment="1"/>
    <xf numFmtId="0" fontId="6" fillId="0" borderId="1" xfId="0" applyFont="1" applyBorder="1" applyAlignment="1">
      <alignment horizontal="left" vertical="top" wrapText="1"/>
    </xf>
    <xf numFmtId="0" fontId="7" fillId="0" borderId="1" xfId="0" applyFont="1" applyBorder="1" applyAlignment="1">
      <alignment horizontal="left" wrapText="1"/>
    </xf>
    <xf numFmtId="0" fontId="6" fillId="0" borderId="1" xfId="0" applyFont="1" applyFill="1" applyBorder="1" applyAlignment="1">
      <alignment horizontal="center" vertical="top" wrapText="1"/>
    </xf>
    <xf numFmtId="0" fontId="7" fillId="0" borderId="0" xfId="0" applyFont="1" applyFill="1" applyBorder="1" applyAlignment="1">
      <alignment vertical="top" wrapText="1"/>
    </xf>
    <xf numFmtId="2" fontId="0" fillId="0" borderId="1" xfId="0" applyNumberFormat="1" applyBorder="1" applyAlignment="1">
      <alignment horizontal="left"/>
    </xf>
    <xf numFmtId="0" fontId="0" fillId="0" borderId="1" xfId="0" applyFont="1" applyBorder="1" applyAlignment="1"/>
    <xf numFmtId="0" fontId="0" fillId="0" borderId="1" xfId="0" applyBorder="1" applyAlignment="1">
      <alignment horizontal="center"/>
    </xf>
    <xf numFmtId="0" fontId="6" fillId="0" borderId="3" xfId="0" applyFont="1" applyBorder="1" applyAlignment="1">
      <alignment vertical="top"/>
    </xf>
    <xf numFmtId="0" fontId="7" fillId="4" borderId="1" xfId="0" applyFont="1" applyFill="1" applyBorder="1" applyAlignment="1">
      <alignment horizontal="left" vertical="top"/>
    </xf>
    <xf numFmtId="0" fontId="0" fillId="0" borderId="1" xfId="0" applyBorder="1" applyAlignment="1">
      <alignment horizontal="left" vertical="top" wrapText="1"/>
    </xf>
    <xf numFmtId="0" fontId="6" fillId="0" borderId="0" xfId="0" applyFont="1" applyBorder="1" applyAlignment="1">
      <alignment horizontal="left"/>
    </xf>
    <xf numFmtId="0" fontId="6" fillId="0" borderId="1" xfId="0" applyFont="1" applyBorder="1" applyAlignment="1">
      <alignment horizontal="left" vertical="top"/>
    </xf>
    <xf numFmtId="0" fontId="7" fillId="0" borderId="1" xfId="0" applyFont="1" applyBorder="1" applyAlignment="1">
      <alignment horizontal="left"/>
    </xf>
    <xf numFmtId="0" fontId="7" fillId="0" borderId="1" xfId="0" applyFont="1" applyFill="1" applyBorder="1" applyAlignment="1">
      <alignment horizontal="left" vertical="top"/>
    </xf>
    <xf numFmtId="0" fontId="7" fillId="0" borderId="0" xfId="0" applyFont="1" applyBorder="1" applyAlignment="1">
      <alignment horizontal="left" vertical="top" wrapText="1"/>
    </xf>
    <xf numFmtId="0" fontId="0" fillId="0" borderId="0" xfId="0" applyBorder="1"/>
    <xf numFmtId="0" fontId="6" fillId="0" borderId="1" xfId="0" applyFont="1" applyFill="1" applyBorder="1" applyAlignment="1">
      <alignment horizontal="left"/>
    </xf>
    <xf numFmtId="0" fontId="7" fillId="0" borderId="1" xfId="0" applyFont="1" applyFill="1" applyBorder="1" applyAlignment="1">
      <alignment horizontal="left" vertical="top" wrapText="1"/>
    </xf>
    <xf numFmtId="0" fontId="6" fillId="4" borderId="2" xfId="0" applyFont="1" applyFill="1" applyBorder="1" applyAlignment="1"/>
    <xf numFmtId="0" fontId="6" fillId="4" borderId="3" xfId="0" applyFont="1" applyFill="1" applyBorder="1" applyAlignment="1"/>
    <xf numFmtId="0" fontId="5" fillId="0" borderId="5" xfId="0" applyFont="1" applyBorder="1" applyAlignment="1">
      <alignment horizontal="center"/>
    </xf>
    <xf numFmtId="0" fontId="5" fillId="0" borderId="0" xfId="0" applyFont="1" applyBorder="1" applyAlignment="1">
      <alignment horizontal="center"/>
    </xf>
    <xf numFmtId="0" fontId="6" fillId="0" borderId="1" xfId="0" applyFont="1" applyBorder="1" applyAlignment="1">
      <alignment horizontal="center"/>
    </xf>
    <xf numFmtId="0" fontId="0" fillId="0" borderId="1" xfId="0" applyFill="1" applyBorder="1" applyAlignment="1">
      <alignment horizontal="left"/>
    </xf>
    <xf numFmtId="0" fontId="0" fillId="0" borderId="1" xfId="0" applyFill="1" applyBorder="1"/>
    <xf numFmtId="0" fontId="7" fillId="0" borderId="0" xfId="0" applyFont="1" applyBorder="1" applyAlignment="1">
      <alignment horizontal="left" vertical="center" indent="1"/>
    </xf>
    <xf numFmtId="0" fontId="0" fillId="0" borderId="1" xfId="0" applyFill="1" applyBorder="1" applyAlignment="1">
      <alignment horizontal="center" vertical="center"/>
    </xf>
    <xf numFmtId="0" fontId="0" fillId="0" borderId="1" xfId="0" applyFill="1" applyBorder="1" applyAlignment="1">
      <alignment horizontal="left" vertical="top"/>
    </xf>
    <xf numFmtId="164" fontId="0" fillId="0" borderId="0" xfId="0" applyNumberFormat="1" applyFont="1" applyAlignment="1"/>
    <xf numFmtId="0" fontId="2" fillId="0" borderId="3" xfId="0" applyFont="1" applyBorder="1"/>
    <xf numFmtId="49" fontId="2" fillId="0" borderId="1" xfId="0" applyNumberFormat="1" applyFont="1" applyBorder="1"/>
    <xf numFmtId="0" fontId="2" fillId="0" borderId="1" xfId="0" applyFont="1" applyBorder="1"/>
    <xf numFmtId="164" fontId="2" fillId="0" borderId="1" xfId="0" applyNumberFormat="1" applyFont="1" applyBorder="1"/>
    <xf numFmtId="1" fontId="2" fillId="0" borderId="1" xfId="0" applyNumberFormat="1" applyFont="1" applyBorder="1"/>
    <xf numFmtId="0" fontId="2" fillId="3" borderId="1" xfId="0" applyNumberFormat="1" applyFont="1" applyFill="1" applyBorder="1"/>
    <xf numFmtId="14" fontId="2" fillId="3" borderId="1" xfId="0" applyNumberFormat="1" applyFont="1" applyFill="1" applyBorder="1"/>
    <xf numFmtId="0" fontId="2" fillId="3" borderId="1" xfId="0" applyFont="1" applyFill="1" applyBorder="1"/>
    <xf numFmtId="49" fontId="2" fillId="3" borderId="2" xfId="0" applyNumberFormat="1" applyFont="1" applyFill="1" applyBorder="1"/>
    <xf numFmtId="0" fontId="2" fillId="3" borderId="3" xfId="0" applyFont="1" applyFill="1" applyBorder="1"/>
    <xf numFmtId="49" fontId="2" fillId="3" borderId="1" xfId="0" applyNumberFormat="1" applyFont="1" applyFill="1" applyBorder="1"/>
    <xf numFmtId="164" fontId="2" fillId="3" borderId="1" xfId="0" applyNumberFormat="1" applyFont="1" applyFill="1" applyBorder="1"/>
    <xf numFmtId="1" fontId="2" fillId="3" borderId="1" xfId="0" applyNumberFormat="1" applyFont="1" applyFill="1" applyBorder="1"/>
    <xf numFmtId="49" fontId="2" fillId="3" borderId="3" xfId="0" applyNumberFormat="1" applyFont="1" applyFill="1" applyBorder="1"/>
    <xf numFmtId="16" fontId="2" fillId="3" borderId="1" xfId="0" applyNumberFormat="1" applyFont="1" applyFill="1" applyBorder="1"/>
    <xf numFmtId="49" fontId="2" fillId="0" borderId="3" xfId="0" applyNumberFormat="1" applyFont="1" applyBorder="1"/>
    <xf numFmtId="49" fontId="2" fillId="3" borderId="5" xfId="0" applyNumberFormat="1" applyFont="1" applyFill="1" applyBorder="1"/>
    <xf numFmtId="49" fontId="2" fillId="3" borderId="9" xfId="0" applyNumberFormat="1" applyFont="1" applyFill="1" applyBorder="1"/>
    <xf numFmtId="164" fontId="2" fillId="3" borderId="9" xfId="0" applyNumberFormat="1" applyFont="1" applyFill="1" applyBorder="1"/>
    <xf numFmtId="1" fontId="2" fillId="3" borderId="9" xfId="0" applyNumberFormat="1" applyFont="1" applyFill="1" applyBorder="1"/>
    <xf numFmtId="0" fontId="2" fillId="3" borderId="9" xfId="0" applyNumberFormat="1" applyFont="1" applyFill="1" applyBorder="1"/>
    <xf numFmtId="14" fontId="2" fillId="3" borderId="9" xfId="0" applyNumberFormat="1" applyFont="1" applyFill="1" applyBorder="1"/>
    <xf numFmtId="49" fontId="2" fillId="3" borderId="4" xfId="0" applyNumberFormat="1" applyFont="1" applyFill="1" applyBorder="1"/>
    <xf numFmtId="0" fontId="1" fillId="2" borderId="7" xfId="0" applyFont="1" applyFill="1" applyBorder="1" applyAlignment="1">
      <alignment horizontal="center" vertical="center" wrapText="1"/>
    </xf>
    <xf numFmtId="0" fontId="1" fillId="2" borderId="10" xfId="0" applyFont="1" applyFill="1" applyBorder="1" applyAlignment="1">
      <alignment horizontal="center" vertical="center" wrapText="1"/>
    </xf>
    <xf numFmtId="164" fontId="1" fillId="2" borderId="10" xfId="0" applyNumberFormat="1" applyFont="1" applyFill="1" applyBorder="1" applyAlignment="1">
      <alignment horizontal="center" vertical="center" wrapText="1"/>
    </xf>
    <xf numFmtId="0" fontId="1" fillId="2" borderId="6" xfId="0" applyFont="1" applyFill="1" applyBorder="1" applyAlignment="1">
      <alignment horizontal="center" vertical="center" wrapText="1"/>
    </xf>
    <xf numFmtId="0" fontId="7" fillId="4" borderId="1" xfId="0" applyFont="1" applyFill="1" applyBorder="1" applyAlignment="1">
      <alignment horizontal="left" vertical="top"/>
    </xf>
    <xf numFmtId="0" fontId="7" fillId="0" borderId="1" xfId="0" applyFont="1" applyBorder="1" applyAlignment="1">
      <alignment horizontal="left" vertical="top" wrapText="1"/>
    </xf>
    <xf numFmtId="0" fontId="0" fillId="0" borderId="1" xfId="0" applyBorder="1" applyAlignment="1">
      <alignment horizontal="center"/>
    </xf>
    <xf numFmtId="0" fontId="0" fillId="4" borderId="1" xfId="0" applyFill="1" applyBorder="1" applyAlignment="1">
      <alignment horizontal="left" vertical="top"/>
    </xf>
    <xf numFmtId="0" fontId="7" fillId="4" borderId="2" xfId="0" applyFont="1" applyFill="1" applyBorder="1" applyAlignment="1">
      <alignment horizontal="left" vertical="top"/>
    </xf>
    <xf numFmtId="0" fontId="7" fillId="4" borderId="3" xfId="0" applyFont="1" applyFill="1" applyBorder="1" applyAlignment="1">
      <alignment horizontal="left" vertical="top"/>
    </xf>
    <xf numFmtId="0" fontId="0" fillId="4" borderId="4" xfId="0" applyFill="1" applyBorder="1" applyAlignment="1">
      <alignment horizontal="left" vertical="top" wrapText="1"/>
    </xf>
    <xf numFmtId="0" fontId="0" fillId="4" borderId="5" xfId="0" applyFill="1" applyBorder="1" applyAlignment="1">
      <alignment horizontal="left" vertical="top" wrapText="1"/>
    </xf>
    <xf numFmtId="0" fontId="0" fillId="4" borderId="6" xfId="0" applyFill="1" applyBorder="1" applyAlignment="1">
      <alignment horizontal="left" vertical="top" wrapText="1"/>
    </xf>
    <xf numFmtId="0" fontId="0" fillId="4" borderId="7" xfId="0" applyFill="1" applyBorder="1" applyAlignment="1">
      <alignment horizontal="left" vertical="top" wrapText="1"/>
    </xf>
    <xf numFmtId="0" fontId="6" fillId="0" borderId="1" xfId="0" applyFont="1" applyBorder="1" applyAlignment="1">
      <alignment horizontal="left" vertical="top" wrapText="1"/>
    </xf>
    <xf numFmtId="0" fontId="5" fillId="0" borderId="1" xfId="0" applyFont="1" applyBorder="1" applyAlignment="1">
      <alignment horizontal="center"/>
    </xf>
    <xf numFmtId="0" fontId="6" fillId="4" borderId="2" xfId="0" applyFont="1" applyFill="1" applyBorder="1" applyAlignment="1">
      <alignment horizontal="left" vertical="top"/>
    </xf>
    <xf numFmtId="0" fontId="6" fillId="4" borderId="3" xfId="0" applyFont="1" applyFill="1" applyBorder="1" applyAlignment="1">
      <alignment horizontal="left" vertical="top"/>
    </xf>
    <xf numFmtId="0" fontId="0" fillId="4" borderId="2" xfId="0" applyFill="1" applyBorder="1" applyAlignment="1">
      <alignment horizontal="left" vertical="top"/>
    </xf>
    <xf numFmtId="0" fontId="0" fillId="4" borderId="3" xfId="0" applyFill="1" applyBorder="1" applyAlignment="1">
      <alignment horizontal="left" vertical="top"/>
    </xf>
    <xf numFmtId="0" fontId="7" fillId="4" borderId="1" xfId="0" applyFont="1" applyFill="1" applyBorder="1" applyAlignment="1">
      <alignment horizontal="left"/>
    </xf>
    <xf numFmtId="0" fontId="6" fillId="4" borderId="1" xfId="0" applyFont="1" applyFill="1" applyBorder="1" applyAlignment="1">
      <alignment horizontal="left" vertical="top"/>
    </xf>
    <xf numFmtId="0" fontId="0" fillId="4" borderId="1" xfId="0" applyFill="1" applyBorder="1" applyAlignment="1">
      <alignment horizontal="left"/>
    </xf>
    <xf numFmtId="2" fontId="0" fillId="4" borderId="1" xfId="0" applyNumberFormat="1" applyFill="1" applyBorder="1" applyAlignment="1">
      <alignment horizontal="left"/>
    </xf>
    <xf numFmtId="0" fontId="7" fillId="4" borderId="1" xfId="0" applyFont="1" applyFill="1" applyBorder="1" applyAlignment="1">
      <alignment horizontal="left" vertical="top" wrapText="1"/>
    </xf>
    <xf numFmtId="0" fontId="6" fillId="0" borderId="1" xfId="0" applyFont="1" applyBorder="1" applyAlignment="1">
      <alignment horizontal="left"/>
    </xf>
    <xf numFmtId="0" fontId="6" fillId="0" borderId="2" xfId="0" applyFont="1" applyFill="1" applyBorder="1" applyAlignment="1">
      <alignment horizontal="center" vertical="top"/>
    </xf>
    <xf numFmtId="0" fontId="6" fillId="0" borderId="3" xfId="0" applyFont="1" applyFill="1" applyBorder="1" applyAlignment="1">
      <alignment horizontal="center" vertical="top"/>
    </xf>
    <xf numFmtId="0" fontId="6" fillId="0" borderId="1" xfId="0" applyFont="1" applyBorder="1" applyAlignment="1">
      <alignment horizontal="left" vertical="top"/>
    </xf>
    <xf numFmtId="0" fontId="7" fillId="4" borderId="1" xfId="0" applyFont="1" applyFill="1" applyBorder="1" applyAlignment="1">
      <alignment horizontal="center"/>
    </xf>
    <xf numFmtId="0" fontId="7" fillId="0" borderId="1" xfId="0" applyFont="1" applyBorder="1" applyAlignment="1">
      <alignment horizontal="left" vertical="top"/>
    </xf>
    <xf numFmtId="0" fontId="7" fillId="4" borderId="1" xfId="0" applyFont="1" applyFill="1" applyBorder="1" applyAlignment="1">
      <alignment horizontal="center" vertical="top" wrapText="1"/>
    </xf>
    <xf numFmtId="0" fontId="0" fillId="4" borderId="1" xfId="0" applyFont="1" applyFill="1" applyBorder="1" applyAlignment="1">
      <alignment horizontal="left"/>
    </xf>
    <xf numFmtId="0" fontId="0" fillId="4" borderId="1" xfId="0" applyFont="1" applyFill="1" applyBorder="1" applyAlignment="1">
      <alignment horizontal="left" vertical="top" wrapText="1"/>
    </xf>
    <xf numFmtId="0" fontId="6" fillId="0" borderId="0" xfId="0" applyFont="1" applyBorder="1" applyAlignment="1">
      <alignment horizontal="center" vertical="top"/>
    </xf>
    <xf numFmtId="0" fontId="7" fillId="4" borderId="1" xfId="0" applyFont="1" applyFill="1" applyBorder="1" applyAlignment="1">
      <alignment horizontal="center" wrapText="1"/>
    </xf>
    <xf numFmtId="0" fontId="7" fillId="0" borderId="0" xfId="0" applyFont="1" applyBorder="1" applyAlignment="1">
      <alignment horizontal="left"/>
    </xf>
    <xf numFmtId="0" fontId="0" fillId="0" borderId="0" xfId="0" applyBorder="1" applyAlignment="1">
      <alignment horizontal="center"/>
    </xf>
    <xf numFmtId="0" fontId="0" fillId="0" borderId="1" xfId="0" applyFont="1" applyBorder="1" applyAlignment="1">
      <alignment horizontal="left" vertical="top"/>
    </xf>
    <xf numFmtId="0" fontId="0" fillId="0" borderId="1" xfId="0" applyFont="1" applyBorder="1" applyAlignment="1">
      <alignment horizontal="center"/>
    </xf>
    <xf numFmtId="0" fontId="6" fillId="0" borderId="1" xfId="0" applyFont="1" applyFill="1" applyBorder="1" applyAlignment="1">
      <alignment horizontal="left" vertical="top" wrapText="1"/>
    </xf>
    <xf numFmtId="0" fontId="0" fillId="0" borderId="1" xfId="0" applyFont="1" applyBorder="1" applyAlignment="1">
      <alignment horizontal="left" vertical="top" wrapText="1"/>
    </xf>
    <xf numFmtId="0" fontId="0" fillId="0" borderId="0" xfId="0" applyFont="1" applyBorder="1" applyAlignment="1"/>
    <xf numFmtId="0" fontId="6" fillId="0" borderId="0" xfId="0" applyFont="1" applyBorder="1" applyAlignment="1">
      <alignment vertical="top"/>
    </xf>
    <xf numFmtId="0" fontId="0" fillId="0" borderId="0" xfId="0" applyBorder="1" applyAlignment="1"/>
    <xf numFmtId="0" fontId="0" fillId="0" borderId="0" xfId="0" applyFill="1" applyBorder="1" applyAlignment="1"/>
    <xf numFmtId="0" fontId="6" fillId="0" borderId="8" xfId="0" applyFont="1" applyBorder="1" applyAlignment="1">
      <alignment horizontal="left" vertical="top"/>
    </xf>
    <xf numFmtId="0" fontId="7" fillId="0" borderId="2" xfId="0" applyFont="1" applyBorder="1" applyAlignment="1">
      <alignment horizontal="left" vertical="top"/>
    </xf>
    <xf numFmtId="0" fontId="6" fillId="0" borderId="0" xfId="0" applyFont="1" applyBorder="1" applyAlignment="1">
      <alignment horizontal="left" vertical="top" wrapText="1"/>
    </xf>
  </cellXfs>
  <cellStyles count="1">
    <cellStyle name="Normal" xfId="0" builtinId="0"/>
  </cellStyles>
  <dxfs count="16">
    <dxf>
      <font>
        <color rgb="FF9C0006"/>
      </font>
      <fill>
        <patternFill>
          <bgColor rgb="FFFFC7CE"/>
        </patternFill>
      </fill>
    </dxf>
    <dxf>
      <font>
        <b val="0"/>
        <i val="0"/>
        <strike val="0"/>
        <condense val="0"/>
        <extend val="0"/>
        <outline val="0"/>
        <shadow val="0"/>
        <u val="none"/>
        <vertAlign val="baseline"/>
        <sz val="10"/>
        <color theme="1"/>
        <name val="Arial"/>
        <scheme val="none"/>
      </font>
      <fill>
        <patternFill patternType="solid">
          <fgColor rgb="FFE0F7FA"/>
          <bgColor rgb="FFE0F7FA"/>
        </patternFill>
      </fill>
      <border diagonalUp="0" diagonalDown="0">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numFmt numFmtId="30" formatCode="@"/>
      <fill>
        <patternFill patternType="solid">
          <fgColor rgb="FFE0F7FA"/>
          <bgColor rgb="FFE0F7FA"/>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solid">
          <fgColor rgb="FFE0F7FA"/>
          <bgColor rgb="FFE0F7FA"/>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numFmt numFmtId="19" formatCode="dd/mm/yy"/>
      <fill>
        <patternFill patternType="solid">
          <fgColor rgb="FFE0F7FA"/>
          <bgColor rgb="FFE0F7FA"/>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solid">
          <fgColor rgb="FFE0F7FA"/>
          <bgColor rgb="FFE0F7FA"/>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numFmt numFmtId="30" formatCode="@"/>
      <fill>
        <patternFill patternType="solid">
          <fgColor rgb="FFE0F7FA"/>
          <bgColor rgb="FFE0F7FA"/>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numFmt numFmtId="1" formatCode="0"/>
      <fill>
        <patternFill patternType="solid">
          <fgColor rgb="FFE0F7FA"/>
          <bgColor rgb="FFE0F7FA"/>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numFmt numFmtId="164" formatCode="&quot;$&quot;#,##0"/>
      <fill>
        <patternFill patternType="solid">
          <fgColor rgb="FFE0F7FA"/>
          <bgColor rgb="FFE0F7FA"/>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solid">
          <fgColor rgb="FFE0F7FA"/>
          <bgColor rgb="FFE0F7FA"/>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numFmt numFmtId="30" formatCode="@"/>
      <fill>
        <patternFill patternType="solid">
          <fgColor rgb="FFE0F7FA"/>
          <bgColor rgb="FFE0F7FA"/>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solid">
          <fgColor rgb="FFE0F7FA"/>
          <bgColor rgb="FFE0F7FA"/>
        </patternFill>
      </fill>
    </dxf>
    <dxf>
      <border>
        <bottom style="thin">
          <color indexed="64"/>
        </bottom>
      </border>
    </dxf>
    <dxf>
      <font>
        <b/>
        <i val="0"/>
        <strike val="0"/>
        <condense val="0"/>
        <extend val="0"/>
        <outline val="0"/>
        <shadow val="0"/>
        <u val="none"/>
        <vertAlign val="baseline"/>
        <sz val="10"/>
        <color theme="1"/>
        <name val="Arial"/>
        <scheme val="none"/>
      </font>
      <fill>
        <patternFill patternType="solid">
          <fgColor rgb="FF4DD0E1"/>
          <bgColor rgb="FF4DD0E1"/>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4D1D5E-AED0-4C10-80F4-DABD6F1697DF}" name="Table1" displayName="Table1" ref="A1:J32" totalsRowShown="0" headerRowDxfId="15" dataDxfId="13" headerRowBorderDxfId="14" tableBorderDxfId="12" totalsRowBorderDxfId="11">
  <autoFilter ref="A1:J32" xr:uid="{F44D1D5E-AED0-4C10-80F4-DABD6F1697DF}"/>
  <tableColumns count="10">
    <tableColumn id="1" xr3:uid="{CE7E6DCF-8759-429C-9D83-6E3196372E32}" name="Product ID" dataDxfId="1"/>
    <tableColumn id="2" xr3:uid="{B433538A-461D-4CE5-922D-E24787395F98}" name="Product Name" dataDxfId="10"/>
    <tableColumn id="3" xr3:uid="{E866CCF3-C82D-4CE3-9634-4C381B6495BB}" name="Brand Name" dataDxfId="9"/>
    <tableColumn id="4" xr3:uid="{F60F5572-D8DF-4A3E-A8A2-3CB1F5EF0C17}" name="Price ($)" dataDxfId="8"/>
    <tableColumn id="5" xr3:uid="{0C0FD7B5-29C3-4FBB-8AB2-B4369C57B913}" name="Quantity" dataDxfId="7"/>
    <tableColumn id="6" xr3:uid="{6D4F9CA7-1B3B-41D6-82D2-EA5A0F711C7A}" name="Category" dataDxfId="6"/>
    <tableColumn id="10" xr3:uid="{8DE730C0-3B90-4A40-9BBB-1A6F050F77F2}" name="Product ID2" dataDxfId="5">
      <calculatedColumnFormula>TRIM(CLEAN(A2))</calculatedColumnFormula>
    </tableColumn>
    <tableColumn id="11" xr3:uid="{3624E901-AC31-424F-9320-94F5274FE89C}" name="Manufacturing Date" dataDxfId="4">
      <calculatedColumnFormula>LEFT((A2),6)</calculatedColumnFormula>
    </tableColumn>
    <tableColumn id="12" xr3:uid="{840770B9-D348-4087-964F-888B1560C18A}" name="Country Code" dataDxfId="3">
      <calculatedColumnFormula>RIGHT((A2),2)</calculatedColumnFormula>
    </tableColumn>
    <tableColumn id="13" xr3:uid="{9D06598D-CA13-49FC-9FF6-3E0FA5E846DE}" name="Product Brand" dataDxfId="2">
      <calculatedColumnFormula>CONCATENATE(B2," - ",C2)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017"/>
  <sheetViews>
    <sheetView tabSelected="1" zoomScale="85" zoomScaleNormal="85" workbookViewId="0">
      <selection activeCell="G2" sqref="G2"/>
    </sheetView>
  </sheetViews>
  <sheetFormatPr defaultColWidth="12.5703125" defaultRowHeight="15" customHeight="1" x14ac:dyDescent="0.2"/>
  <cols>
    <col min="1" max="1" width="10.5703125" customWidth="1"/>
    <col min="2" max="2" width="11.5703125" customWidth="1"/>
    <col min="3" max="3" width="10.140625" bestFit="1" customWidth="1"/>
    <col min="4" max="4" width="9" style="43" customWidth="1"/>
    <col min="5" max="5" width="9.140625" customWidth="1"/>
    <col min="6" max="6" width="11.28515625" bestFit="1" customWidth="1"/>
    <col min="7" max="7" width="11.42578125" bestFit="1" customWidth="1"/>
    <col min="8" max="8" width="13.85546875" customWidth="1"/>
    <col min="9" max="9" width="8.140625" customWidth="1"/>
    <col min="10" max="10" width="22.85546875" bestFit="1" customWidth="1"/>
    <col min="11" max="11" width="7.140625" customWidth="1"/>
    <col min="12" max="12" width="7" customWidth="1"/>
    <col min="13" max="13" width="51.42578125" customWidth="1"/>
    <col min="14" max="14" width="51.140625" customWidth="1"/>
  </cols>
  <sheetData>
    <row r="1" spans="1:20" ht="46.5" customHeight="1" x14ac:dyDescent="0.2">
      <c r="A1" s="67" t="s">
        <v>0</v>
      </c>
      <c r="B1" s="68" t="s">
        <v>1</v>
      </c>
      <c r="C1" s="68" t="s">
        <v>2</v>
      </c>
      <c r="D1" s="69" t="s">
        <v>3</v>
      </c>
      <c r="E1" s="68" t="s">
        <v>4</v>
      </c>
      <c r="F1" s="68" t="s">
        <v>5</v>
      </c>
      <c r="G1" s="68" t="s">
        <v>168</v>
      </c>
      <c r="H1" s="68" t="s">
        <v>169</v>
      </c>
      <c r="I1" s="68" t="s">
        <v>170</v>
      </c>
      <c r="J1" s="70" t="s">
        <v>171</v>
      </c>
    </row>
    <row r="2" spans="1:20" ht="15.75" customHeight="1" x14ac:dyDescent="0.2">
      <c r="A2" s="44" t="s">
        <v>6</v>
      </c>
      <c r="B2" s="45" t="s">
        <v>38</v>
      </c>
      <c r="C2" s="46" t="s">
        <v>7</v>
      </c>
      <c r="D2" s="47">
        <v>1000</v>
      </c>
      <c r="E2" s="48">
        <v>30</v>
      </c>
      <c r="F2" s="45" t="s">
        <v>8</v>
      </c>
      <c r="G2" s="49" t="str">
        <f>TRIM(CLEAN(A2))</f>
        <v>28-JAN-US</v>
      </c>
      <c r="H2" s="50" t="str">
        <f>LEFT((A2),6)</f>
        <v>28-JAN</v>
      </c>
      <c r="I2" s="51" t="str">
        <f>RIGHT((A2),2)</f>
        <v>US</v>
      </c>
      <c r="J2" s="52" t="str">
        <f t="shared" ref="J2:J32" si="0">CONCATENATE(B2," - ",C2)</f>
        <v>Laptop - Dell</v>
      </c>
    </row>
    <row r="3" spans="1:20" ht="15.75" customHeight="1" x14ac:dyDescent="0.25">
      <c r="A3" s="53" t="s">
        <v>9</v>
      </c>
      <c r="B3" s="54" t="s">
        <v>10</v>
      </c>
      <c r="C3" s="51" t="s">
        <v>11</v>
      </c>
      <c r="D3" s="55">
        <v>80</v>
      </c>
      <c r="E3" s="56">
        <v>15</v>
      </c>
      <c r="F3" s="54" t="s">
        <v>12</v>
      </c>
      <c r="G3" s="49" t="str">
        <f>TRIM(CLEAN(A3))</f>
        <v>15-FEB-US</v>
      </c>
      <c r="H3" s="50" t="str">
        <f>LEFT((A3),6)</f>
        <v>15-FEB</v>
      </c>
      <c r="I3" s="51" t="str">
        <f>RIGHT((A3),2)</f>
        <v>US</v>
      </c>
      <c r="J3" s="52" t="str">
        <f t="shared" si="0"/>
        <v>Sneakers - Nike</v>
      </c>
      <c r="M3" s="82" t="s">
        <v>92</v>
      </c>
      <c r="N3" s="82"/>
      <c r="O3" s="4"/>
      <c r="P3" s="4"/>
      <c r="Q3" s="4"/>
      <c r="R3" s="4"/>
      <c r="S3" s="4"/>
      <c r="T3" s="4"/>
    </row>
    <row r="4" spans="1:20" ht="15.75" customHeight="1" x14ac:dyDescent="0.2">
      <c r="A4" s="44" t="s">
        <v>13</v>
      </c>
      <c r="B4" s="45" t="s">
        <v>14</v>
      </c>
      <c r="C4" s="46" t="s">
        <v>15</v>
      </c>
      <c r="D4" s="47">
        <v>130</v>
      </c>
      <c r="E4" s="48">
        <v>40</v>
      </c>
      <c r="F4" s="45" t="s">
        <v>16</v>
      </c>
      <c r="G4" s="49" t="str">
        <f>TRIM(CLEAN(A4))</f>
        <v>03-MAR-US</v>
      </c>
      <c r="H4" s="50" t="str">
        <f>LEFT((A4),6)</f>
        <v>03-MAR</v>
      </c>
      <c r="I4" s="51" t="str">
        <f>RIGHT((A4),2)</f>
        <v>US</v>
      </c>
      <c r="J4" s="52" t="str">
        <f t="shared" si="0"/>
        <v>Coffee Maker - Keurig</v>
      </c>
      <c r="M4" s="73"/>
      <c r="N4" s="73"/>
      <c r="O4" s="4"/>
      <c r="P4" s="4"/>
      <c r="Q4" s="4"/>
      <c r="R4" s="4"/>
      <c r="S4" s="4"/>
      <c r="T4" s="4"/>
    </row>
    <row r="5" spans="1:20" ht="12.75" customHeight="1" x14ac:dyDescent="0.2">
      <c r="A5" s="53" t="s">
        <v>17</v>
      </c>
      <c r="B5" s="54" t="s">
        <v>72</v>
      </c>
      <c r="C5" s="51" t="s">
        <v>18</v>
      </c>
      <c r="D5" s="55">
        <v>900</v>
      </c>
      <c r="E5" s="56">
        <v>25</v>
      </c>
      <c r="F5" s="54" t="s">
        <v>8</v>
      </c>
      <c r="G5" s="49" t="str">
        <f>TRIM(CLEAN(A5))</f>
        <v>11-APR-US</v>
      </c>
      <c r="H5" s="50" t="str">
        <f>LEFT((A5),6)</f>
        <v>11-APR</v>
      </c>
      <c r="I5" s="51" t="str">
        <f>RIGHT((A5),2)</f>
        <v>US</v>
      </c>
      <c r="J5" s="52" t="str">
        <f t="shared" si="0"/>
        <v>Smartphone - Samsung</v>
      </c>
      <c r="M5" s="81" t="s">
        <v>93</v>
      </c>
      <c r="N5" s="81"/>
      <c r="O5" s="4"/>
      <c r="P5" s="4"/>
      <c r="Q5" s="4"/>
      <c r="R5" s="4"/>
      <c r="S5" s="4"/>
      <c r="T5" s="4"/>
    </row>
    <row r="6" spans="1:20" ht="15.75" customHeight="1" x14ac:dyDescent="0.2">
      <c r="A6" s="44" t="s">
        <v>19</v>
      </c>
      <c r="B6" s="45" t="s">
        <v>20</v>
      </c>
      <c r="C6" s="46" t="s">
        <v>21</v>
      </c>
      <c r="D6" s="47">
        <v>70</v>
      </c>
      <c r="E6" s="48">
        <v>20</v>
      </c>
      <c r="F6" s="45" t="s">
        <v>144</v>
      </c>
      <c r="G6" s="49" t="str">
        <f>TRIM(CLEAN(A6))</f>
        <v>22-MAY-US</v>
      </c>
      <c r="H6" s="50" t="str">
        <f>LEFT((A6),6)</f>
        <v>22-MAY</v>
      </c>
      <c r="I6" s="51" t="str">
        <f>RIGHT((A6),2)</f>
        <v>US</v>
      </c>
      <c r="J6" s="52" t="str">
        <f t="shared" si="0"/>
        <v>Backpack - North Face</v>
      </c>
      <c r="M6" s="81"/>
      <c r="N6" s="81"/>
    </row>
    <row r="7" spans="1:20" ht="15.75" customHeight="1" x14ac:dyDescent="0.2">
      <c r="A7" s="53" t="s">
        <v>22</v>
      </c>
      <c r="B7" s="54" t="s">
        <v>23</v>
      </c>
      <c r="C7" s="51" t="s">
        <v>24</v>
      </c>
      <c r="D7" s="55">
        <v>309.35483870967744</v>
      </c>
      <c r="E7" s="56">
        <v>45</v>
      </c>
      <c r="F7" s="54" t="s">
        <v>8</v>
      </c>
      <c r="G7" s="49" t="str">
        <f>TRIM(CLEAN(A7))</f>
        <v>07-JUN-UK</v>
      </c>
      <c r="H7" s="50" t="str">
        <f>LEFT((A7),6)</f>
        <v>07-JUN</v>
      </c>
      <c r="I7" s="51" t="str">
        <f>RIGHT((A7),2)</f>
        <v>UK</v>
      </c>
      <c r="J7" s="52" t="str">
        <f t="shared" si="0"/>
        <v>Headphones - Sony</v>
      </c>
      <c r="M7" s="15"/>
      <c r="N7" s="15"/>
    </row>
    <row r="8" spans="1:20" ht="15.75" customHeight="1" x14ac:dyDescent="0.2">
      <c r="A8" s="44" t="s">
        <v>25</v>
      </c>
      <c r="B8" s="45" t="s">
        <v>146</v>
      </c>
      <c r="C8" s="46" t="s">
        <v>26</v>
      </c>
      <c r="D8" s="47">
        <v>30</v>
      </c>
      <c r="E8" s="48">
        <v>5</v>
      </c>
      <c r="F8" s="45" t="s">
        <v>12</v>
      </c>
      <c r="G8" s="49" t="str">
        <f>TRIM(CLEAN(A8))</f>
        <v>19-JUL-UK</v>
      </c>
      <c r="H8" s="50" t="str">
        <f>LEFT((A8),6)</f>
        <v>19-JUL</v>
      </c>
      <c r="I8" s="51" t="str">
        <f>RIGHT((A8),2)</f>
        <v>UK</v>
      </c>
      <c r="J8" s="52" t="str">
        <f t="shared" si="0"/>
        <v>T-Shirt - Adidas</v>
      </c>
      <c r="M8" s="102" t="s">
        <v>140</v>
      </c>
      <c r="N8" s="102"/>
    </row>
    <row r="9" spans="1:20" ht="15.75" customHeight="1" x14ac:dyDescent="0.2">
      <c r="A9" s="53" t="s">
        <v>27</v>
      </c>
      <c r="B9" s="54" t="s">
        <v>28</v>
      </c>
      <c r="C9" s="51" t="s">
        <v>29</v>
      </c>
      <c r="D9" s="55">
        <v>90</v>
      </c>
      <c r="E9" s="56">
        <v>35</v>
      </c>
      <c r="F9" s="54" t="s">
        <v>16</v>
      </c>
      <c r="G9" s="49" t="str">
        <f>TRIM(CLEAN(A9))</f>
        <v>23-AUG-UK</v>
      </c>
      <c r="H9" s="50" t="str">
        <f>LEFT((A9),6)</f>
        <v>23-AUG</v>
      </c>
      <c r="I9" s="51" t="str">
        <f>RIGHT((A9),2)</f>
        <v>UK</v>
      </c>
      <c r="J9" s="52" t="str">
        <f t="shared" si="0"/>
        <v>Blender - Ninja</v>
      </c>
      <c r="M9" s="6" t="s">
        <v>94</v>
      </c>
      <c r="N9" s="19">
        <v>309.35483870967744</v>
      </c>
    </row>
    <row r="10" spans="1:20" ht="15.75" customHeight="1" x14ac:dyDescent="0.2">
      <c r="A10" s="44" t="s">
        <v>30</v>
      </c>
      <c r="B10" s="45" t="s">
        <v>31</v>
      </c>
      <c r="C10" s="46" t="s">
        <v>32</v>
      </c>
      <c r="D10" s="47">
        <v>500</v>
      </c>
      <c r="E10" s="48">
        <v>50</v>
      </c>
      <c r="F10" s="45" t="s">
        <v>8</v>
      </c>
      <c r="G10" s="49" t="str">
        <f>TRIM(CLEAN(A10))</f>
        <v>05-SEP-UK</v>
      </c>
      <c r="H10" s="50" t="str">
        <f>LEFT((A10),6)</f>
        <v>05-SEP</v>
      </c>
      <c r="I10" s="51" t="str">
        <f>RIGHT((A10),2)</f>
        <v>UK</v>
      </c>
      <c r="J10" s="52" t="str">
        <f t="shared" si="0"/>
        <v>Tablet - Apple</v>
      </c>
      <c r="M10" s="106"/>
      <c r="N10" s="106"/>
    </row>
    <row r="11" spans="1:20" ht="15.75" customHeight="1" x14ac:dyDescent="0.2">
      <c r="A11" s="57" t="s">
        <v>33</v>
      </c>
      <c r="B11" s="54" t="s">
        <v>34</v>
      </c>
      <c r="C11" s="54" t="s">
        <v>35</v>
      </c>
      <c r="D11" s="55">
        <v>130</v>
      </c>
      <c r="E11" s="56">
        <v>10</v>
      </c>
      <c r="F11" s="54" t="s">
        <v>36</v>
      </c>
      <c r="G11" s="49" t="str">
        <f>TRIM(CLEAN(A11))</f>
        <v>14-OCT-UK</v>
      </c>
      <c r="H11" s="58" t="str">
        <f>LEFT((A11),6)</f>
        <v>14-OCT</v>
      </c>
      <c r="I11" s="54" t="str">
        <f>RIGHT((A11),2)</f>
        <v>UK</v>
      </c>
      <c r="J11" s="52" t="str">
        <f t="shared" si="0"/>
        <v>Hiking Boots - Timberland</v>
      </c>
      <c r="M11" s="105" t="s">
        <v>141</v>
      </c>
      <c r="N11" s="105"/>
    </row>
    <row r="12" spans="1:20" ht="15.75" customHeight="1" x14ac:dyDescent="0.2">
      <c r="A12" s="59" t="s">
        <v>37</v>
      </c>
      <c r="B12" s="45" t="s">
        <v>38</v>
      </c>
      <c r="C12" s="45" t="s">
        <v>39</v>
      </c>
      <c r="D12" s="47">
        <v>950</v>
      </c>
      <c r="E12" s="48">
        <v>25</v>
      </c>
      <c r="F12" s="45" t="s">
        <v>8</v>
      </c>
      <c r="G12" s="49" t="str">
        <f>TRIM(CLEAN(A12))</f>
        <v>17-JUN-IN</v>
      </c>
      <c r="H12" s="50" t="str">
        <f>LEFT((A12),6)</f>
        <v>17-JUN</v>
      </c>
      <c r="I12" s="54" t="str">
        <f>RIGHT((A12),2)</f>
        <v>IN</v>
      </c>
      <c r="J12" s="52" t="str">
        <f t="shared" si="0"/>
        <v>Laptop - HP</v>
      </c>
      <c r="M12" s="103"/>
      <c r="N12" s="103"/>
    </row>
    <row r="13" spans="1:20" ht="15.75" customHeight="1" x14ac:dyDescent="0.2">
      <c r="A13" s="57" t="s">
        <v>40</v>
      </c>
      <c r="B13" s="54" t="s">
        <v>10</v>
      </c>
      <c r="C13" s="54" t="s">
        <v>26</v>
      </c>
      <c r="D13" s="55">
        <v>90</v>
      </c>
      <c r="E13" s="56">
        <v>40</v>
      </c>
      <c r="F13" s="54" t="s">
        <v>144</v>
      </c>
      <c r="G13" s="49" t="str">
        <f>TRIM(CLEAN(A13))</f>
        <v>25-NOV-AU</v>
      </c>
      <c r="H13" s="50" t="str">
        <f>LEFT((A13),6)</f>
        <v>25-NOV</v>
      </c>
      <c r="I13" s="54" t="str">
        <f>RIGHT((A13),2)</f>
        <v>AU</v>
      </c>
      <c r="J13" s="52" t="str">
        <f t="shared" si="0"/>
        <v>Sneakers - Adidas</v>
      </c>
      <c r="M13" s="107" t="s">
        <v>95</v>
      </c>
      <c r="N13" s="107"/>
    </row>
    <row r="14" spans="1:20" ht="15.75" customHeight="1" x14ac:dyDescent="0.2">
      <c r="A14" s="59" t="s">
        <v>41</v>
      </c>
      <c r="B14" s="45" t="s">
        <v>14</v>
      </c>
      <c r="C14" s="45" t="s">
        <v>42</v>
      </c>
      <c r="D14" s="47">
        <v>120</v>
      </c>
      <c r="E14" s="48">
        <v>35</v>
      </c>
      <c r="F14" s="45" t="s">
        <v>144</v>
      </c>
      <c r="G14" s="49" t="str">
        <f>TRIM(CLEAN(A14))</f>
        <v>08-DEC-DE</v>
      </c>
      <c r="H14" s="50" t="str">
        <f>LEFT((A14),6)</f>
        <v>08-DEC</v>
      </c>
      <c r="I14" s="54" t="str">
        <f>RIGHT((A14),2)</f>
        <v>DE</v>
      </c>
      <c r="J14" s="52" t="str">
        <f t="shared" si="0"/>
        <v>Coffee Maker - Nespresso</v>
      </c>
      <c r="M14" s="107"/>
      <c r="N14" s="107"/>
    </row>
    <row r="15" spans="1:20" ht="15.75" customHeight="1" x14ac:dyDescent="0.2">
      <c r="A15" s="57" t="s">
        <v>43</v>
      </c>
      <c r="B15" s="54" t="s">
        <v>44</v>
      </c>
      <c r="C15" s="54" t="s">
        <v>45</v>
      </c>
      <c r="D15" s="55">
        <v>150</v>
      </c>
      <c r="E15" s="56">
        <v>15</v>
      </c>
      <c r="F15" s="54" t="s">
        <v>8</v>
      </c>
      <c r="G15" s="49" t="str">
        <f>TRIM(CLEAN(A15))</f>
        <v>18-FEB-CA</v>
      </c>
      <c r="H15" s="50" t="str">
        <f>LEFT((A15),6)</f>
        <v>18-FEB</v>
      </c>
      <c r="I15" s="54" t="str">
        <f>RIGHT((A15),2)</f>
        <v>CA</v>
      </c>
      <c r="J15" s="52" t="str">
        <f t="shared" si="0"/>
        <v>Smartwatch - Fitbit</v>
      </c>
      <c r="M15" s="17"/>
      <c r="N15" s="17"/>
    </row>
    <row r="16" spans="1:20" ht="15.75" customHeight="1" x14ac:dyDescent="0.2">
      <c r="A16" s="59" t="s">
        <v>46</v>
      </c>
      <c r="B16" s="45" t="s">
        <v>23</v>
      </c>
      <c r="C16" s="45" t="s">
        <v>47</v>
      </c>
      <c r="D16" s="47">
        <v>250</v>
      </c>
      <c r="E16" s="48">
        <v>20</v>
      </c>
      <c r="F16" s="45" t="s">
        <v>8</v>
      </c>
      <c r="G16" s="49" t="str">
        <f>TRIM(CLEAN(A16))</f>
        <v>16-APR-ES</v>
      </c>
      <c r="H16" s="50" t="str">
        <f>LEFT((A16),6)</f>
        <v>16-APR</v>
      </c>
      <c r="I16" s="54" t="str">
        <f>RIGHT((A16),2)</f>
        <v>ES</v>
      </c>
      <c r="J16" s="52" t="str">
        <f t="shared" si="0"/>
        <v>Headphones - Bose</v>
      </c>
      <c r="M16" s="96" t="s">
        <v>142</v>
      </c>
      <c r="N16" s="96"/>
    </row>
    <row r="17" spans="1:17" ht="15.75" customHeight="1" x14ac:dyDescent="0.2">
      <c r="A17" s="57" t="s">
        <v>48</v>
      </c>
      <c r="B17" s="54" t="s">
        <v>49</v>
      </c>
      <c r="C17" s="54" t="s">
        <v>50</v>
      </c>
      <c r="D17" s="55">
        <v>50</v>
      </c>
      <c r="E17" s="56">
        <v>35</v>
      </c>
      <c r="F17" s="54" t="s">
        <v>51</v>
      </c>
      <c r="G17" s="49" t="str">
        <f>TRIM(CLEAN(A17))</f>
        <v>21-AUG-CA</v>
      </c>
      <c r="H17" s="50" t="str">
        <f>LEFT((A17),6)</f>
        <v>21-AUG</v>
      </c>
      <c r="I17" s="54" t="str">
        <f>RIGHT((A17),2)</f>
        <v>CA</v>
      </c>
      <c r="J17" s="52" t="str">
        <f t="shared" si="0"/>
        <v>Laptop Bag - Samsonite</v>
      </c>
      <c r="M17" s="20"/>
      <c r="N17" s="20"/>
    </row>
    <row r="18" spans="1:17" ht="15.75" customHeight="1" x14ac:dyDescent="0.2">
      <c r="A18" s="59" t="s">
        <v>52</v>
      </c>
      <c r="B18" s="45" t="s">
        <v>44</v>
      </c>
      <c r="C18" s="45" t="s">
        <v>53</v>
      </c>
      <c r="D18" s="47">
        <v>160</v>
      </c>
      <c r="E18" s="48">
        <v>15</v>
      </c>
      <c r="F18" s="45" t="s">
        <v>8</v>
      </c>
      <c r="G18" s="49" t="str">
        <f>TRIM(CLEAN(A18))</f>
        <v>20-AUG-CN</v>
      </c>
      <c r="H18" s="50" t="str">
        <f>LEFT((A18),6)</f>
        <v>20-AUG</v>
      </c>
      <c r="I18" s="54" t="str">
        <f>RIGHT((A18),2)</f>
        <v>CN</v>
      </c>
      <c r="J18" s="52" t="str">
        <f t="shared" si="0"/>
        <v>Smartwatch - Huawei</v>
      </c>
      <c r="M18" s="108" t="s">
        <v>143</v>
      </c>
      <c r="N18" s="108"/>
    </row>
    <row r="19" spans="1:17" ht="15.75" customHeight="1" x14ac:dyDescent="0.2">
      <c r="A19" s="57" t="s">
        <v>54</v>
      </c>
      <c r="B19" s="54" t="s">
        <v>38</v>
      </c>
      <c r="C19" s="54" t="s">
        <v>55</v>
      </c>
      <c r="D19" s="55">
        <v>980</v>
      </c>
      <c r="E19" s="56">
        <v>10</v>
      </c>
      <c r="F19" s="54" t="s">
        <v>8</v>
      </c>
      <c r="G19" s="49" t="str">
        <f>TRIM(CLEAN(A19))</f>
        <v>27-JAN-IT</v>
      </c>
      <c r="H19" s="50" t="str">
        <f>LEFT((A19),6)</f>
        <v>27-JAN</v>
      </c>
      <c r="I19" s="54" t="str">
        <f>RIGHT((A19),2)</f>
        <v>IT</v>
      </c>
      <c r="J19" s="52" t="str">
        <f t="shared" si="0"/>
        <v>Laptop - Asus</v>
      </c>
      <c r="M19" s="108"/>
      <c r="N19" s="108"/>
    </row>
    <row r="20" spans="1:17" ht="15.75" customHeight="1" x14ac:dyDescent="0.2">
      <c r="A20" s="59" t="s">
        <v>56</v>
      </c>
      <c r="B20" s="45" t="s">
        <v>57</v>
      </c>
      <c r="C20" s="45" t="s">
        <v>58</v>
      </c>
      <c r="D20" s="47">
        <v>150</v>
      </c>
      <c r="E20" s="48">
        <v>15</v>
      </c>
      <c r="F20" s="45" t="s">
        <v>12</v>
      </c>
      <c r="G20" s="49" t="str">
        <f>TRIM(CLEAN(A20))</f>
        <v>01-MAR-UK</v>
      </c>
      <c r="H20" s="50" t="str">
        <f>LEFT((A20),6)</f>
        <v>01-MAR</v>
      </c>
      <c r="I20" s="54" t="str">
        <f>RIGHT((A20),2)</f>
        <v>UK</v>
      </c>
      <c r="J20" s="52" t="str">
        <f t="shared" si="0"/>
        <v>Sunglasses - Oakley</v>
      </c>
      <c r="N20" s="18"/>
    </row>
    <row r="21" spans="1:17" ht="15.75" customHeight="1" x14ac:dyDescent="0.2">
      <c r="A21" s="57" t="s">
        <v>59</v>
      </c>
      <c r="B21" s="54" t="s">
        <v>60</v>
      </c>
      <c r="C21" s="54" t="s">
        <v>61</v>
      </c>
      <c r="D21" s="55">
        <v>309.35483870967744</v>
      </c>
      <c r="E21" s="56">
        <v>10</v>
      </c>
      <c r="F21" s="54" t="s">
        <v>36</v>
      </c>
      <c r="G21" s="49" t="str">
        <f>TRIM(CLEAN(A21))</f>
        <v>14-AUG-US</v>
      </c>
      <c r="H21" s="50" t="str">
        <f>LEFT((A21),6)</f>
        <v>14-AUG</v>
      </c>
      <c r="I21" s="54" t="str">
        <f>RIGHT((A21),2)</f>
        <v>US</v>
      </c>
      <c r="J21" s="52" t="str">
        <f t="shared" si="0"/>
        <v>Camping Tent - Coleman</v>
      </c>
      <c r="M21" s="7"/>
      <c r="N21" s="7"/>
    </row>
    <row r="22" spans="1:17" ht="15.75" customHeight="1" x14ac:dyDescent="0.25">
      <c r="A22" s="59" t="s">
        <v>62</v>
      </c>
      <c r="B22" s="45" t="s">
        <v>63</v>
      </c>
      <c r="C22" s="45" t="s">
        <v>64</v>
      </c>
      <c r="D22" s="47">
        <v>700</v>
      </c>
      <c r="E22" s="48">
        <v>50</v>
      </c>
      <c r="F22" s="45" t="s">
        <v>8</v>
      </c>
      <c r="G22" s="49" t="str">
        <f>TRIM(CLEAN(A22))</f>
        <v>14-MAY-RU</v>
      </c>
      <c r="H22" s="50" t="str">
        <f>LEFT((A22),6)</f>
        <v>14-MAY</v>
      </c>
      <c r="I22" s="54" t="str">
        <f>RIGHT((A22),2)</f>
        <v>RU</v>
      </c>
      <c r="J22" s="52" t="str">
        <f t="shared" si="0"/>
        <v>Camera - Nikon</v>
      </c>
      <c r="M22" s="82" t="s">
        <v>96</v>
      </c>
      <c r="N22" s="82"/>
    </row>
    <row r="23" spans="1:17" ht="15.75" customHeight="1" x14ac:dyDescent="0.2">
      <c r="A23" s="57" t="s">
        <v>65</v>
      </c>
      <c r="B23" s="54" t="s">
        <v>66</v>
      </c>
      <c r="C23" s="54" t="s">
        <v>67</v>
      </c>
      <c r="D23" s="55">
        <v>80</v>
      </c>
      <c r="E23" s="56">
        <v>20</v>
      </c>
      <c r="F23" s="54" t="s">
        <v>16</v>
      </c>
      <c r="G23" s="49" t="str">
        <f>TRIM(CLEAN(A23))</f>
        <v>09-JAN-CA</v>
      </c>
      <c r="H23" s="50" t="str">
        <f>LEFT((A23),6)</f>
        <v>09-JAN</v>
      </c>
      <c r="I23" s="54" t="str">
        <f>RIGHT((A23),2)</f>
        <v>CA</v>
      </c>
      <c r="J23" s="52" t="str">
        <f t="shared" si="0"/>
        <v>Microwave - Panasonic</v>
      </c>
      <c r="M23" s="73"/>
      <c r="N23" s="73"/>
    </row>
    <row r="24" spans="1:17" ht="15.75" customHeight="1" x14ac:dyDescent="0.2">
      <c r="A24" s="59" t="s">
        <v>68</v>
      </c>
      <c r="B24" s="45" t="s">
        <v>69</v>
      </c>
      <c r="C24" s="45" t="s">
        <v>70</v>
      </c>
      <c r="D24" s="47">
        <v>150</v>
      </c>
      <c r="E24" s="48">
        <v>30</v>
      </c>
      <c r="F24" s="45" t="s">
        <v>144</v>
      </c>
      <c r="G24" s="49" t="str">
        <f>TRIM(CLEAN(A24))</f>
        <v>19-JUL-BR</v>
      </c>
      <c r="H24" s="50" t="str">
        <f>LEFT((A24),6)</f>
        <v>19-JUL</v>
      </c>
      <c r="I24" s="54" t="str">
        <f>RIGHT((A24),2)</f>
        <v>BR</v>
      </c>
      <c r="J24" s="52" t="str">
        <f t="shared" si="0"/>
        <v>Fitness Tracker - Xiaomi</v>
      </c>
      <c r="M24" s="6" t="s">
        <v>97</v>
      </c>
      <c r="N24" s="8"/>
    </row>
    <row r="25" spans="1:17" ht="15.75" customHeight="1" x14ac:dyDescent="0.2">
      <c r="A25" s="59" t="s">
        <v>71</v>
      </c>
      <c r="B25" s="45" t="s">
        <v>72</v>
      </c>
      <c r="C25" s="45" t="s">
        <v>73</v>
      </c>
      <c r="D25" s="47">
        <v>800</v>
      </c>
      <c r="E25" s="48">
        <v>45</v>
      </c>
      <c r="F25" s="45" t="s">
        <v>8</v>
      </c>
      <c r="G25" s="49" t="str">
        <f>TRIM(CLEAN(A25))</f>
        <v>29-SEP-CA</v>
      </c>
      <c r="H25" s="50" t="str">
        <f>LEFT((A25),6)</f>
        <v>29-SEP</v>
      </c>
      <c r="I25" s="54" t="str">
        <f>RIGHT((A25),2)</f>
        <v>CA</v>
      </c>
      <c r="J25" s="52" t="str">
        <f t="shared" si="0"/>
        <v>Smartphone - Google</v>
      </c>
      <c r="M25" s="73"/>
      <c r="N25" s="73"/>
    </row>
    <row r="26" spans="1:17" ht="15.75" customHeight="1" x14ac:dyDescent="0.2">
      <c r="A26" s="57" t="s">
        <v>74</v>
      </c>
      <c r="B26" s="54" t="s">
        <v>57</v>
      </c>
      <c r="C26" s="54" t="s">
        <v>75</v>
      </c>
      <c r="D26" s="55">
        <v>309.35483870967744</v>
      </c>
      <c r="E26" s="56">
        <v>25</v>
      </c>
      <c r="F26" s="54" t="s">
        <v>12</v>
      </c>
      <c r="G26" s="49" t="str">
        <f>TRIM(CLEAN(A26))</f>
        <v>03-JUN-CA</v>
      </c>
      <c r="H26" s="50" t="str">
        <f>LEFT((A26),6)</f>
        <v>03-JUN</v>
      </c>
      <c r="I26" s="54" t="str">
        <f>RIGHT((A26),2)</f>
        <v>CA</v>
      </c>
      <c r="J26" s="52" t="str">
        <f t="shared" si="0"/>
        <v>Sunglasses - Ray-Ban</v>
      </c>
      <c r="M26" s="96" t="s">
        <v>145</v>
      </c>
      <c r="N26" s="96"/>
    </row>
    <row r="27" spans="1:17" ht="15.75" customHeight="1" x14ac:dyDescent="0.2">
      <c r="A27" s="59" t="s">
        <v>76</v>
      </c>
      <c r="B27" s="45" t="s">
        <v>28</v>
      </c>
      <c r="C27" s="45" t="s">
        <v>77</v>
      </c>
      <c r="D27" s="47">
        <v>400</v>
      </c>
      <c r="E27" s="48">
        <v>40</v>
      </c>
      <c r="F27" s="45" t="s">
        <v>16</v>
      </c>
      <c r="G27" s="49" t="str">
        <f>TRIM(CLEAN(A27))</f>
        <v>11-JUL-CA</v>
      </c>
      <c r="H27" s="50" t="str">
        <f>LEFT((A27),6)</f>
        <v>11-JUL</v>
      </c>
      <c r="I27" s="54" t="str">
        <f>RIGHT((A27),2)</f>
        <v>CA</v>
      </c>
      <c r="J27" s="52" t="str">
        <f t="shared" si="0"/>
        <v>Blender - Vitamix</v>
      </c>
      <c r="M27" s="72" t="s">
        <v>98</v>
      </c>
      <c r="N27" s="72"/>
    </row>
    <row r="28" spans="1:17" ht="15.75" customHeight="1" x14ac:dyDescent="0.2">
      <c r="A28" s="59" t="s">
        <v>78</v>
      </c>
      <c r="B28" s="45" t="s">
        <v>79</v>
      </c>
      <c r="C28" s="45" t="s">
        <v>80</v>
      </c>
      <c r="D28" s="47">
        <v>60</v>
      </c>
      <c r="E28" s="48">
        <v>30</v>
      </c>
      <c r="F28" s="45" t="s">
        <v>12</v>
      </c>
      <c r="G28" s="49" t="str">
        <f>TRIM(CLEAN(A28))</f>
        <v>07-MAR-CA</v>
      </c>
      <c r="H28" s="50" t="str">
        <f>LEFT((A28),6)</f>
        <v>07-MAR</v>
      </c>
      <c r="I28" s="54" t="str">
        <f>RIGHT((A28),2)</f>
        <v>CA</v>
      </c>
      <c r="J28" s="52" t="str">
        <f t="shared" si="0"/>
        <v>Dress - Zara</v>
      </c>
      <c r="M28" s="72"/>
      <c r="N28" s="72"/>
    </row>
    <row r="29" spans="1:17" ht="15.75" customHeight="1" x14ac:dyDescent="0.2">
      <c r="A29" s="57" t="s">
        <v>81</v>
      </c>
      <c r="B29" s="54" t="s">
        <v>82</v>
      </c>
      <c r="C29" s="54" t="s">
        <v>83</v>
      </c>
      <c r="D29" s="55">
        <v>40</v>
      </c>
      <c r="E29" s="56">
        <v>10</v>
      </c>
      <c r="F29" s="54" t="s">
        <v>16</v>
      </c>
      <c r="G29" s="49" t="str">
        <f>TRIM(CLEAN(A29))</f>
        <v>13-APR-CA</v>
      </c>
      <c r="H29" s="50" t="str">
        <f>LEFT((A29),6)</f>
        <v>13-APR</v>
      </c>
      <c r="I29" s="54" t="str">
        <f>RIGHT((A29),2)</f>
        <v>CA</v>
      </c>
      <c r="J29" s="52" t="str">
        <f t="shared" si="0"/>
        <v>Toaster - Hamilton</v>
      </c>
      <c r="M29" s="104"/>
      <c r="N29" s="104"/>
    </row>
    <row r="30" spans="1:17" ht="15.75" customHeight="1" x14ac:dyDescent="0.2">
      <c r="A30" s="59" t="s">
        <v>84</v>
      </c>
      <c r="B30" s="45" t="s">
        <v>69</v>
      </c>
      <c r="C30" s="45" t="s">
        <v>85</v>
      </c>
      <c r="D30" s="47">
        <v>130</v>
      </c>
      <c r="E30" s="48">
        <v>5</v>
      </c>
      <c r="F30" s="45" t="s">
        <v>8</v>
      </c>
      <c r="G30" s="49" t="str">
        <f>TRIM(CLEAN(A30))</f>
        <v>24-MAY-CA</v>
      </c>
      <c r="H30" s="50" t="str">
        <f>LEFT((A30),6)</f>
        <v>24-MAY</v>
      </c>
      <c r="I30" s="54" t="str">
        <f>RIGHT((A30),2)</f>
        <v>CA</v>
      </c>
      <c r="J30" s="52" t="str">
        <f t="shared" si="0"/>
        <v>Fitness Tracker - Garmin</v>
      </c>
      <c r="M30" s="95" t="s">
        <v>99</v>
      </c>
      <c r="N30" s="95"/>
    </row>
    <row r="31" spans="1:17" ht="15.75" customHeight="1" x14ac:dyDescent="0.2">
      <c r="A31" s="57" t="s">
        <v>86</v>
      </c>
      <c r="B31" s="54" t="s">
        <v>87</v>
      </c>
      <c r="C31" s="54" t="s">
        <v>88</v>
      </c>
      <c r="D31" s="55">
        <v>50</v>
      </c>
      <c r="E31" s="56">
        <v>50</v>
      </c>
      <c r="F31" s="54" t="s">
        <v>12</v>
      </c>
      <c r="G31" s="49" t="str">
        <f>TRIM(CLEAN(A31))</f>
        <v>02-DEC-CA</v>
      </c>
      <c r="H31" s="50" t="str">
        <f>LEFT((A31),6)</f>
        <v>02-DEC</v>
      </c>
      <c r="I31" s="54" t="str">
        <f>RIGHT((A31),2)</f>
        <v>CA</v>
      </c>
      <c r="J31" s="52" t="str">
        <f t="shared" si="0"/>
        <v>Jeans - Levi's</v>
      </c>
      <c r="M31" s="26"/>
      <c r="N31" s="26"/>
      <c r="O31" s="109"/>
      <c r="P31" s="110"/>
      <c r="Q31" s="22"/>
    </row>
    <row r="32" spans="1:17" ht="15.75" customHeight="1" x14ac:dyDescent="0.2">
      <c r="A32" s="60" t="s">
        <v>89</v>
      </c>
      <c r="B32" s="61" t="s">
        <v>90</v>
      </c>
      <c r="C32" s="61" t="s">
        <v>91</v>
      </c>
      <c r="D32" s="62">
        <v>100</v>
      </c>
      <c r="E32" s="63">
        <v>20</v>
      </c>
      <c r="F32" s="61" t="s">
        <v>51</v>
      </c>
      <c r="G32" s="64" t="str">
        <f>TRIM(CLEAN(A32))</f>
        <v>09-JUL-FR</v>
      </c>
      <c r="H32" s="65" t="str">
        <f>LEFT((A32),6)</f>
        <v>09-JUL</v>
      </c>
      <c r="I32" s="61" t="str">
        <f>RIGHT((A32),2)</f>
        <v>FR</v>
      </c>
      <c r="J32" s="66" t="str">
        <f t="shared" si="0"/>
        <v>Watch - Casio</v>
      </c>
      <c r="M32" s="114" t="s">
        <v>157</v>
      </c>
      <c r="N32" s="113"/>
      <c r="O32" s="109"/>
      <c r="P32" s="111"/>
      <c r="Q32" s="14"/>
    </row>
    <row r="33" spans="7:16" ht="12.75" x14ac:dyDescent="0.2">
      <c r="G33" s="2"/>
      <c r="M33" s="101"/>
      <c r="N33" s="101"/>
      <c r="O33" s="112"/>
      <c r="P33" s="112"/>
    </row>
    <row r="34" spans="7:16" ht="12.75" x14ac:dyDescent="0.2">
      <c r="G34" s="1"/>
      <c r="M34" s="81" t="s">
        <v>100</v>
      </c>
      <c r="N34" s="81"/>
    </row>
    <row r="35" spans="7:16" ht="12.75" x14ac:dyDescent="0.2">
      <c r="G35" s="2"/>
      <c r="M35" s="26"/>
      <c r="N35" s="26"/>
    </row>
    <row r="36" spans="7:16" ht="12.75" x14ac:dyDescent="0.2">
      <c r="G36" s="2"/>
      <c r="M36" s="88" t="s">
        <v>147</v>
      </c>
      <c r="N36" s="88"/>
    </row>
    <row r="37" spans="7:16" ht="12.75" x14ac:dyDescent="0.2">
      <c r="M37" s="93"/>
      <c r="N37" s="94"/>
    </row>
    <row r="38" spans="7:16" ht="12.75" x14ac:dyDescent="0.2">
      <c r="M38" s="87" t="s">
        <v>148</v>
      </c>
      <c r="N38" s="87"/>
    </row>
    <row r="39" spans="7:16" ht="12.75" x14ac:dyDescent="0.2">
      <c r="M39" s="87" t="s">
        <v>149</v>
      </c>
      <c r="N39" s="87"/>
    </row>
    <row r="40" spans="7:16" ht="12.75" x14ac:dyDescent="0.2">
      <c r="M40" s="71" t="s">
        <v>150</v>
      </c>
      <c r="N40" s="71"/>
    </row>
    <row r="41" spans="7:16" ht="15.75" customHeight="1" x14ac:dyDescent="0.2">
      <c r="M41" s="87" t="s">
        <v>151</v>
      </c>
      <c r="N41" s="87"/>
    </row>
    <row r="42" spans="7:16" ht="15.75" customHeight="1" x14ac:dyDescent="0.2">
      <c r="M42" s="99" t="s">
        <v>152</v>
      </c>
      <c r="N42" s="99"/>
    </row>
    <row r="43" spans="7:16" ht="15.75" customHeight="1" x14ac:dyDescent="0.2">
      <c r="M43" s="99" t="s">
        <v>153</v>
      </c>
      <c r="N43" s="99"/>
    </row>
    <row r="44" spans="7:16" ht="15.75" customHeight="1" x14ac:dyDescent="0.2">
      <c r="M44" s="99" t="s">
        <v>154</v>
      </c>
      <c r="N44" s="99"/>
    </row>
    <row r="45" spans="7:16" ht="15.75" customHeight="1" x14ac:dyDescent="0.2">
      <c r="M45" s="99" t="s">
        <v>155</v>
      </c>
      <c r="N45" s="99"/>
    </row>
    <row r="46" spans="7:16" ht="15.75" customHeight="1" x14ac:dyDescent="0.2">
      <c r="M46" s="20"/>
      <c r="N46" s="21"/>
    </row>
    <row r="47" spans="7:16" ht="15.75" customHeight="1" x14ac:dyDescent="0.2">
      <c r="M47" s="72" t="s">
        <v>156</v>
      </c>
      <c r="N47" s="72"/>
    </row>
    <row r="48" spans="7:16" ht="15.75" customHeight="1" x14ac:dyDescent="0.2">
      <c r="M48" s="72"/>
      <c r="N48" s="72"/>
    </row>
    <row r="49" spans="13:14" ht="15.75" customHeight="1" x14ac:dyDescent="0.2">
      <c r="M49" s="29"/>
      <c r="N49" s="29"/>
    </row>
    <row r="50" spans="13:14" ht="15.75" customHeight="1" x14ac:dyDescent="0.2">
      <c r="M50" s="29"/>
      <c r="N50" s="29"/>
    </row>
    <row r="51" spans="13:14" ht="15.75" customHeight="1" x14ac:dyDescent="0.25">
      <c r="M51" s="82" t="s">
        <v>101</v>
      </c>
      <c r="N51" s="82"/>
    </row>
    <row r="52" spans="13:14" ht="15.75" customHeight="1" x14ac:dyDescent="0.2">
      <c r="M52" s="21"/>
      <c r="N52" s="8"/>
    </row>
    <row r="53" spans="13:14" ht="15.75" customHeight="1" x14ac:dyDescent="0.2">
      <c r="M53" s="12" t="s">
        <v>102</v>
      </c>
      <c r="N53" s="31"/>
    </row>
    <row r="54" spans="13:14" ht="15.75" customHeight="1" x14ac:dyDescent="0.2">
      <c r="M54" s="21"/>
      <c r="N54" s="32"/>
    </row>
    <row r="55" spans="13:14" ht="15.75" customHeight="1" x14ac:dyDescent="0.2">
      <c r="M55" s="33" t="s">
        <v>103</v>
      </c>
      <c r="N55" s="34"/>
    </row>
    <row r="56" spans="13:14" ht="15.75" customHeight="1" x14ac:dyDescent="0.2">
      <c r="M56" s="31"/>
      <c r="N56" s="27"/>
    </row>
    <row r="57" spans="13:14" ht="15.75" customHeight="1" x14ac:dyDescent="0.2">
      <c r="M57" s="71" t="s">
        <v>158</v>
      </c>
      <c r="N57" s="71"/>
    </row>
    <row r="58" spans="13:14" ht="15.75" customHeight="1" x14ac:dyDescent="0.2">
      <c r="M58" s="99" t="s">
        <v>159</v>
      </c>
      <c r="N58" s="99"/>
    </row>
    <row r="59" spans="13:14" ht="15.75" customHeight="1" x14ac:dyDescent="0.2">
      <c r="M59" s="99" t="s">
        <v>160</v>
      </c>
      <c r="N59" s="99"/>
    </row>
    <row r="60" spans="13:14" ht="15.75" customHeight="1" x14ac:dyDescent="0.2">
      <c r="M60" s="99" t="s">
        <v>161</v>
      </c>
      <c r="N60" s="99"/>
    </row>
    <row r="61" spans="13:14" ht="15.75" customHeight="1" x14ac:dyDescent="0.2">
      <c r="M61" s="99" t="s">
        <v>162</v>
      </c>
      <c r="N61" s="99"/>
    </row>
    <row r="62" spans="13:14" ht="15.75" customHeight="1" x14ac:dyDescent="0.2">
      <c r="M62" s="99" t="s">
        <v>163</v>
      </c>
      <c r="N62" s="99"/>
    </row>
    <row r="63" spans="13:14" ht="12.75" x14ac:dyDescent="0.2">
      <c r="M63" s="100" t="s">
        <v>164</v>
      </c>
      <c r="N63" s="100"/>
    </row>
    <row r="64" spans="13:14" ht="15.75" customHeight="1" x14ac:dyDescent="0.2">
      <c r="M64" s="100"/>
      <c r="N64" s="100"/>
    </row>
    <row r="65" spans="13:14" ht="15.75" customHeight="1" x14ac:dyDescent="0.2">
      <c r="M65" s="20"/>
      <c r="N65" s="20"/>
    </row>
    <row r="66" spans="13:14" ht="15.75" customHeight="1" x14ac:dyDescent="0.2">
      <c r="M66" s="97" t="s">
        <v>165</v>
      </c>
      <c r="N66" s="97"/>
    </row>
    <row r="67" spans="13:14" ht="15.75" customHeight="1" x14ac:dyDescent="0.25">
      <c r="N67" s="35"/>
    </row>
    <row r="68" spans="13:14" ht="15.75" customHeight="1" x14ac:dyDescent="0.2">
      <c r="M68" s="30"/>
      <c r="N68" s="30"/>
    </row>
    <row r="69" spans="13:14" ht="15.75" customHeight="1" x14ac:dyDescent="0.25">
      <c r="M69" s="82" t="s">
        <v>104</v>
      </c>
      <c r="N69" s="82"/>
    </row>
    <row r="70" spans="13:14" ht="15.75" customHeight="1" x14ac:dyDescent="0.2">
      <c r="M70" s="8"/>
      <c r="N70" s="15"/>
    </row>
    <row r="71" spans="13:14" ht="15.75" customHeight="1" x14ac:dyDescent="0.2">
      <c r="M71" s="81" t="s">
        <v>105</v>
      </c>
      <c r="N71" s="81"/>
    </row>
    <row r="72" spans="13:14" ht="15.75" customHeight="1" x14ac:dyDescent="0.2">
      <c r="M72" s="81"/>
      <c r="N72" s="81"/>
    </row>
    <row r="73" spans="13:14" ht="15.75" customHeight="1" x14ac:dyDescent="0.2">
      <c r="M73" s="9"/>
      <c r="N73" s="21"/>
    </row>
    <row r="74" spans="13:14" ht="15.75" customHeight="1" x14ac:dyDescent="0.2">
      <c r="M74" s="98" t="s">
        <v>167</v>
      </c>
      <c r="N74" s="98"/>
    </row>
    <row r="75" spans="13:14" ht="15.75" customHeight="1" x14ac:dyDescent="0.2">
      <c r="M75" s="21"/>
      <c r="N75" s="9"/>
    </row>
    <row r="76" spans="13:14" ht="15.75" customHeight="1" x14ac:dyDescent="0.2">
      <c r="M76" s="72" t="s">
        <v>166</v>
      </c>
      <c r="N76" s="72"/>
    </row>
    <row r="77" spans="13:14" ht="15.75" customHeight="1" x14ac:dyDescent="0.2">
      <c r="M77" s="72"/>
      <c r="N77" s="72"/>
    </row>
    <row r="78" spans="13:14" ht="15.75" customHeight="1" x14ac:dyDescent="0.2">
      <c r="M78" s="72"/>
      <c r="N78" s="72"/>
    </row>
    <row r="79" spans="13:14" ht="15.75" customHeight="1" x14ac:dyDescent="0.2">
      <c r="M79" s="29"/>
      <c r="N79" s="29"/>
    </row>
    <row r="80" spans="13:14" ht="11.25" customHeight="1" x14ac:dyDescent="0.2">
      <c r="M80" s="81" t="s">
        <v>106</v>
      </c>
      <c r="N80" s="81"/>
    </row>
    <row r="81" spans="13:14" ht="15.75" customHeight="1" x14ac:dyDescent="0.2">
      <c r="M81" s="81"/>
      <c r="N81" s="81"/>
    </row>
    <row r="82" spans="13:14" ht="15.75" customHeight="1" x14ac:dyDescent="0.2">
      <c r="M82" s="8"/>
      <c r="N82" s="8"/>
    </row>
    <row r="83" spans="13:14" ht="15.75" customHeight="1" x14ac:dyDescent="0.2">
      <c r="M83" s="96" t="s">
        <v>172</v>
      </c>
      <c r="N83" s="96"/>
    </row>
    <row r="84" spans="13:14" ht="15.75" customHeight="1" x14ac:dyDescent="0.2">
      <c r="M84" s="8"/>
      <c r="N84" s="9"/>
    </row>
    <row r="85" spans="13:14" ht="15.75" customHeight="1" x14ac:dyDescent="0.2">
      <c r="M85" s="72" t="s">
        <v>107</v>
      </c>
      <c r="N85" s="72"/>
    </row>
    <row r="86" spans="13:14" ht="15.75" customHeight="1" x14ac:dyDescent="0.2">
      <c r="M86" s="72"/>
      <c r="N86" s="72"/>
    </row>
    <row r="87" spans="13:14" ht="15.75" customHeight="1" x14ac:dyDescent="0.2">
      <c r="M87" s="29"/>
      <c r="N87" s="29"/>
    </row>
    <row r="88" spans="13:14" ht="15.75" customHeight="1" x14ac:dyDescent="0.2">
      <c r="M88" s="10"/>
      <c r="N88" s="30"/>
    </row>
    <row r="89" spans="13:14" ht="15.75" customHeight="1" x14ac:dyDescent="0.25">
      <c r="M89" s="82" t="s">
        <v>108</v>
      </c>
      <c r="N89" s="82"/>
    </row>
    <row r="90" spans="13:14" ht="15.75" customHeight="1" x14ac:dyDescent="0.2">
      <c r="M90" s="8"/>
      <c r="N90" s="8"/>
    </row>
    <row r="91" spans="13:14" ht="15.75" customHeight="1" x14ac:dyDescent="0.2">
      <c r="M91" s="95" t="s">
        <v>109</v>
      </c>
      <c r="N91" s="95"/>
    </row>
    <row r="92" spans="13:14" ht="15.75" customHeight="1" x14ac:dyDescent="0.2">
      <c r="M92" s="8"/>
      <c r="N92" s="41"/>
    </row>
    <row r="93" spans="13:14" ht="15.75" customHeight="1" x14ac:dyDescent="0.2">
      <c r="M93" s="88" t="s">
        <v>110</v>
      </c>
      <c r="N93" s="88"/>
    </row>
    <row r="94" spans="13:14" ht="15.75" customHeight="1" x14ac:dyDescent="0.2">
      <c r="M94" s="41"/>
      <c r="N94" s="11"/>
    </row>
    <row r="95" spans="13:14" ht="15.75" customHeight="1" x14ac:dyDescent="0.2">
      <c r="M95" s="91" t="s">
        <v>126</v>
      </c>
      <c r="N95" s="91"/>
    </row>
    <row r="96" spans="13:14" ht="15.75" customHeight="1" x14ac:dyDescent="0.2">
      <c r="M96" s="91" t="s">
        <v>127</v>
      </c>
      <c r="N96" s="91"/>
    </row>
    <row r="97" spans="13:14" ht="15.75" customHeight="1" x14ac:dyDescent="0.2">
      <c r="M97" s="91" t="s">
        <v>173</v>
      </c>
      <c r="N97" s="91"/>
    </row>
    <row r="98" spans="13:14" ht="15.75" customHeight="1" x14ac:dyDescent="0.2">
      <c r="M98" s="91" t="s">
        <v>174</v>
      </c>
      <c r="N98" s="91"/>
    </row>
    <row r="99" spans="13:14" ht="15.75" customHeight="1" x14ac:dyDescent="0.2">
      <c r="M99" s="91" t="s">
        <v>175</v>
      </c>
      <c r="N99" s="91"/>
    </row>
    <row r="100" spans="13:14" ht="15.75" customHeight="1" x14ac:dyDescent="0.2">
      <c r="M100" s="91" t="s">
        <v>176</v>
      </c>
      <c r="N100" s="91"/>
    </row>
    <row r="101" spans="13:14" ht="15.75" customHeight="1" x14ac:dyDescent="0.2">
      <c r="M101" s="91" t="s">
        <v>177</v>
      </c>
      <c r="N101" s="91"/>
    </row>
    <row r="102" spans="13:14" ht="15.75" customHeight="1" x14ac:dyDescent="0.2">
      <c r="M102" s="32"/>
      <c r="N102" s="9"/>
    </row>
    <row r="103" spans="13:14" ht="15.75" customHeight="1" x14ac:dyDescent="0.2">
      <c r="M103" s="72" t="s">
        <v>111</v>
      </c>
      <c r="N103" s="72"/>
    </row>
    <row r="104" spans="13:14" ht="15.75" customHeight="1" x14ac:dyDescent="0.2">
      <c r="M104" s="72"/>
      <c r="N104" s="72"/>
    </row>
    <row r="105" spans="13:14" ht="15.75" customHeight="1" x14ac:dyDescent="0.2">
      <c r="M105" s="40"/>
      <c r="N105" s="25"/>
    </row>
    <row r="106" spans="13:14" ht="15.75" customHeight="1" x14ac:dyDescent="0.2">
      <c r="M106" s="92" t="s">
        <v>112</v>
      </c>
      <c r="N106" s="92"/>
    </row>
    <row r="107" spans="13:14" ht="15.75" customHeight="1" x14ac:dyDescent="0.2">
      <c r="M107" s="37"/>
      <c r="N107" s="37"/>
    </row>
    <row r="108" spans="13:14" ht="15.75" customHeight="1" x14ac:dyDescent="0.2">
      <c r="M108" s="88" t="s">
        <v>113</v>
      </c>
      <c r="N108" s="88"/>
    </row>
    <row r="109" spans="13:14" ht="15.75" customHeight="1" x14ac:dyDescent="0.2">
      <c r="M109" s="31"/>
      <c r="N109" s="38"/>
    </row>
    <row r="110" spans="13:14" ht="15.75" customHeight="1" x14ac:dyDescent="0.2">
      <c r="M110" s="89" t="s">
        <v>114</v>
      </c>
      <c r="N110" s="89"/>
    </row>
    <row r="111" spans="13:14" ht="15.75" customHeight="1" x14ac:dyDescent="0.2">
      <c r="M111" s="89" t="s">
        <v>115</v>
      </c>
      <c r="N111" s="89"/>
    </row>
    <row r="112" spans="13:14" ht="15.75" customHeight="1" x14ac:dyDescent="0.2">
      <c r="M112" s="90" t="s">
        <v>116</v>
      </c>
      <c r="N112" s="90"/>
    </row>
    <row r="113" spans="13:14" ht="15.75" customHeight="1" x14ac:dyDescent="0.2">
      <c r="M113" s="89" t="s">
        <v>117</v>
      </c>
      <c r="N113" s="89"/>
    </row>
    <row r="114" spans="13:14" ht="15.75" customHeight="1" x14ac:dyDescent="0.2">
      <c r="M114" s="87" t="s">
        <v>118</v>
      </c>
      <c r="N114" s="87"/>
    </row>
    <row r="115" spans="13:14" ht="15.75" customHeight="1" x14ac:dyDescent="0.2">
      <c r="M115" s="87" t="s">
        <v>119</v>
      </c>
      <c r="N115" s="87"/>
    </row>
    <row r="116" spans="13:14" ht="15.75" customHeight="1" x14ac:dyDescent="0.2">
      <c r="M116" s="87" t="s">
        <v>120</v>
      </c>
      <c r="N116" s="87"/>
    </row>
    <row r="117" spans="13:14" ht="15.75" customHeight="1" x14ac:dyDescent="0.2">
      <c r="M117" s="87" t="s">
        <v>121</v>
      </c>
      <c r="N117" s="87"/>
    </row>
    <row r="118" spans="13:14" ht="15.75" customHeight="1" x14ac:dyDescent="0.2">
      <c r="M118" s="11"/>
      <c r="N118" s="16"/>
    </row>
    <row r="119" spans="13:14" ht="15.75" customHeight="1" x14ac:dyDescent="0.2">
      <c r="M119" s="72" t="s">
        <v>122</v>
      </c>
      <c r="N119" s="72"/>
    </row>
    <row r="120" spans="13:14" ht="15.75" customHeight="1" x14ac:dyDescent="0.2">
      <c r="M120" s="72"/>
      <c r="N120" s="72"/>
    </row>
    <row r="121" spans="13:14" ht="15.75" customHeight="1" x14ac:dyDescent="0.25">
      <c r="M121" s="30"/>
      <c r="N121" s="36"/>
    </row>
    <row r="122" spans="13:14" ht="15.75" customHeight="1" x14ac:dyDescent="0.2">
      <c r="M122" s="30"/>
      <c r="N122" s="30"/>
    </row>
    <row r="123" spans="13:14" ht="15.75" customHeight="1" x14ac:dyDescent="0.25">
      <c r="M123" s="82" t="s">
        <v>123</v>
      </c>
      <c r="N123" s="82"/>
    </row>
    <row r="124" spans="13:14" ht="15.75" customHeight="1" x14ac:dyDescent="0.2">
      <c r="M124" s="8"/>
      <c r="N124" s="8"/>
    </row>
    <row r="125" spans="13:14" ht="15.75" customHeight="1" x14ac:dyDescent="0.2">
      <c r="M125" s="12" t="s">
        <v>124</v>
      </c>
      <c r="N125" s="28"/>
    </row>
    <row r="126" spans="13:14" ht="15.75" customHeight="1" x14ac:dyDescent="0.2">
      <c r="M126" s="11"/>
      <c r="N126" s="39"/>
    </row>
    <row r="127" spans="13:14" ht="15.75" customHeight="1" x14ac:dyDescent="0.2">
      <c r="M127" s="83" t="s">
        <v>125</v>
      </c>
      <c r="N127" s="84"/>
    </row>
    <row r="128" spans="13:14" ht="15.75" customHeight="1" x14ac:dyDescent="0.2">
      <c r="M128" s="11"/>
      <c r="N128" s="42"/>
    </row>
    <row r="129" spans="13:14" ht="15.75" customHeight="1" x14ac:dyDescent="0.2">
      <c r="M129" s="75" t="s">
        <v>126</v>
      </c>
      <c r="N129" s="76"/>
    </row>
    <row r="130" spans="13:14" ht="15.75" customHeight="1" x14ac:dyDescent="0.2">
      <c r="M130" s="85" t="s">
        <v>127</v>
      </c>
      <c r="N130" s="86"/>
    </row>
    <row r="131" spans="13:14" ht="15.75" customHeight="1" x14ac:dyDescent="0.2">
      <c r="M131" s="85" t="s">
        <v>128</v>
      </c>
      <c r="N131" s="86"/>
    </row>
    <row r="132" spans="13:14" ht="15.75" customHeight="1" x14ac:dyDescent="0.2">
      <c r="M132" s="75" t="s">
        <v>129</v>
      </c>
      <c r="N132" s="76"/>
    </row>
    <row r="133" spans="13:14" ht="15.75" customHeight="1" x14ac:dyDescent="0.2">
      <c r="M133" s="77" t="s">
        <v>130</v>
      </c>
      <c r="N133" s="78"/>
    </row>
    <row r="134" spans="13:14" ht="15.75" customHeight="1" x14ac:dyDescent="0.2">
      <c r="M134" s="79"/>
      <c r="N134" s="80"/>
    </row>
    <row r="135" spans="13:14" ht="15.75" customHeight="1" x14ac:dyDescent="0.2">
      <c r="M135" s="8"/>
      <c r="N135" s="9"/>
    </row>
    <row r="136" spans="13:14" ht="15.75" customHeight="1" x14ac:dyDescent="0.2">
      <c r="M136" s="72" t="s">
        <v>131</v>
      </c>
      <c r="N136" s="72"/>
    </row>
    <row r="137" spans="13:14" ht="15.75" customHeight="1" x14ac:dyDescent="0.2">
      <c r="M137" s="72"/>
      <c r="N137" s="72"/>
    </row>
    <row r="138" spans="13:14" ht="15.75" customHeight="1" x14ac:dyDescent="0.2">
      <c r="M138" s="30"/>
      <c r="N138" s="115"/>
    </row>
    <row r="139" spans="13:14" ht="15.75" customHeight="1" x14ac:dyDescent="0.2">
      <c r="M139" s="81" t="s">
        <v>132</v>
      </c>
      <c r="N139" s="81"/>
    </row>
    <row r="140" spans="13:14" ht="15.75" customHeight="1" x14ac:dyDescent="0.2">
      <c r="M140" s="81"/>
      <c r="N140" s="81"/>
    </row>
    <row r="141" spans="13:14" ht="15.75" customHeight="1" x14ac:dyDescent="0.2">
      <c r="M141" s="8"/>
      <c r="N141" s="8"/>
    </row>
    <row r="142" spans="13:14" ht="15.75" customHeight="1" x14ac:dyDescent="0.2">
      <c r="M142" s="13" t="s">
        <v>133</v>
      </c>
      <c r="N142" s="23"/>
    </row>
    <row r="143" spans="13:14" ht="15.75" customHeight="1" x14ac:dyDescent="0.2">
      <c r="M143" s="73"/>
      <c r="N143" s="73"/>
    </row>
    <row r="144" spans="13:14" ht="15.75" customHeight="1" x14ac:dyDescent="0.2">
      <c r="M144" s="71" t="s">
        <v>134</v>
      </c>
      <c r="N144" s="71"/>
    </row>
    <row r="145" spans="13:14" ht="15.75" customHeight="1" x14ac:dyDescent="0.2">
      <c r="M145" s="74" t="s">
        <v>127</v>
      </c>
      <c r="N145" s="74"/>
    </row>
    <row r="146" spans="13:14" ht="15.75" customHeight="1" x14ac:dyDescent="0.2">
      <c r="M146" s="74" t="s">
        <v>128</v>
      </c>
      <c r="N146" s="74"/>
    </row>
    <row r="147" spans="13:14" ht="15.75" customHeight="1" x14ac:dyDescent="0.2">
      <c r="M147" s="71" t="s">
        <v>135</v>
      </c>
      <c r="N147" s="71"/>
    </row>
    <row r="148" spans="13:14" ht="15.75" customHeight="1" x14ac:dyDescent="0.2">
      <c r="M148" s="71" t="s">
        <v>136</v>
      </c>
      <c r="N148" s="71"/>
    </row>
    <row r="149" spans="13:14" ht="15.75" customHeight="1" x14ac:dyDescent="0.2">
      <c r="M149" s="71" t="s">
        <v>137</v>
      </c>
      <c r="N149" s="71"/>
    </row>
    <row r="150" spans="13:14" ht="15.75" customHeight="1" x14ac:dyDescent="0.2">
      <c r="M150" s="71" t="s">
        <v>138</v>
      </c>
      <c r="N150" s="71"/>
    </row>
    <row r="151" spans="13:14" ht="15.75" customHeight="1" x14ac:dyDescent="0.2">
      <c r="M151" s="71" t="s">
        <v>121</v>
      </c>
      <c r="N151" s="71"/>
    </row>
    <row r="152" spans="13:14" ht="15.75" customHeight="1" x14ac:dyDescent="0.2">
      <c r="M152" s="8"/>
      <c r="N152" s="24"/>
    </row>
    <row r="153" spans="13:14" ht="15.75" customHeight="1" x14ac:dyDescent="0.2">
      <c r="M153" s="72" t="s">
        <v>139</v>
      </c>
      <c r="N153" s="72"/>
    </row>
    <row r="154" spans="13:14" ht="15.75" customHeight="1" x14ac:dyDescent="0.2">
      <c r="M154" s="72"/>
      <c r="N154" s="72"/>
    </row>
    <row r="155" spans="13:14" ht="15.75" customHeight="1" x14ac:dyDescent="0.25">
      <c r="M155" s="3"/>
      <c r="N155" s="5"/>
    </row>
    <row r="156" spans="13:14" ht="15.75" customHeight="1" x14ac:dyDescent="0.2">
      <c r="M156" s="4"/>
    </row>
    <row r="157" spans="13:14" ht="15.75" customHeight="1" x14ac:dyDescent="0.2">
      <c r="M157" s="4"/>
    </row>
    <row r="158" spans="13:14" ht="15.75" customHeight="1" x14ac:dyDescent="0.2"/>
    <row r="159" spans="13:14" ht="15.75" customHeight="1" x14ac:dyDescent="0.2"/>
    <row r="160" spans="13:14"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row r="1017" ht="15.75" customHeight="1" x14ac:dyDescent="0.2"/>
  </sheetData>
  <mergeCells count="88">
    <mergeCell ref="M32:N32"/>
    <mergeCell ref="M5:N6"/>
    <mergeCell ref="M11:N11"/>
    <mergeCell ref="M10:N10"/>
    <mergeCell ref="M13:N14"/>
    <mergeCell ref="M18:N19"/>
    <mergeCell ref="M16:N16"/>
    <mergeCell ref="M23:N23"/>
    <mergeCell ref="M25:N25"/>
    <mergeCell ref="M26:N26"/>
    <mergeCell ref="M29:N29"/>
    <mergeCell ref="M27:N28"/>
    <mergeCell ref="M3:N3"/>
    <mergeCell ref="M4:N4"/>
    <mergeCell ref="M8:N8"/>
    <mergeCell ref="M12:N12"/>
    <mergeCell ref="M47:N48"/>
    <mergeCell ref="M36:N36"/>
    <mergeCell ref="M38:N38"/>
    <mergeCell ref="M39:N39"/>
    <mergeCell ref="M40:N40"/>
    <mergeCell ref="M41:N41"/>
    <mergeCell ref="M42:N42"/>
    <mergeCell ref="M43:N43"/>
    <mergeCell ref="M44:N44"/>
    <mergeCell ref="M45:N45"/>
    <mergeCell ref="M30:N30"/>
    <mergeCell ref="M22:N22"/>
    <mergeCell ref="M63:N64"/>
    <mergeCell ref="M34:N34"/>
    <mergeCell ref="M33:N33"/>
    <mergeCell ref="M51:N51"/>
    <mergeCell ref="M57:N57"/>
    <mergeCell ref="M58:N58"/>
    <mergeCell ref="M89:N89"/>
    <mergeCell ref="M80:N81"/>
    <mergeCell ref="M37:N37"/>
    <mergeCell ref="M91:N91"/>
    <mergeCell ref="M93:N93"/>
    <mergeCell ref="M76:N78"/>
    <mergeCell ref="M83:N83"/>
    <mergeCell ref="M85:N86"/>
    <mergeCell ref="M66:N66"/>
    <mergeCell ref="M69:N69"/>
    <mergeCell ref="M71:N72"/>
    <mergeCell ref="M74:N74"/>
    <mergeCell ref="M59:N59"/>
    <mergeCell ref="M60:N60"/>
    <mergeCell ref="M61:N61"/>
    <mergeCell ref="M62:N62"/>
    <mergeCell ref="M100:N100"/>
    <mergeCell ref="M101:N101"/>
    <mergeCell ref="M103:N104"/>
    <mergeCell ref="M106:N106"/>
    <mergeCell ref="M95:N95"/>
    <mergeCell ref="M96:N96"/>
    <mergeCell ref="M97:N97"/>
    <mergeCell ref="M98:N98"/>
    <mergeCell ref="M99:N99"/>
    <mergeCell ref="M108:N108"/>
    <mergeCell ref="M110:N110"/>
    <mergeCell ref="M111:N111"/>
    <mergeCell ref="M112:N112"/>
    <mergeCell ref="M113:N113"/>
    <mergeCell ref="M114:N114"/>
    <mergeCell ref="M115:N115"/>
    <mergeCell ref="M116:N116"/>
    <mergeCell ref="M117:N117"/>
    <mergeCell ref="M119:N120"/>
    <mergeCell ref="M132:N132"/>
    <mergeCell ref="M133:N134"/>
    <mergeCell ref="M136:N137"/>
    <mergeCell ref="M139:N140"/>
    <mergeCell ref="M123:N123"/>
    <mergeCell ref="M127:N127"/>
    <mergeCell ref="M129:N129"/>
    <mergeCell ref="M130:N130"/>
    <mergeCell ref="M131:N131"/>
    <mergeCell ref="M143:N143"/>
    <mergeCell ref="M144:N144"/>
    <mergeCell ref="M145:N145"/>
    <mergeCell ref="M146:N146"/>
    <mergeCell ref="M147:N147"/>
    <mergeCell ref="M148:N148"/>
    <mergeCell ref="M149:N149"/>
    <mergeCell ref="M150:N150"/>
    <mergeCell ref="M151:N151"/>
    <mergeCell ref="M153:N154"/>
  </mergeCells>
  <phoneticPr fontId="10" type="noConversion"/>
  <conditionalFormatting sqref="D2:D32">
    <cfRule type="dataBar" priority="2">
      <dataBar>
        <cfvo type="min"/>
        <cfvo type="max"/>
        <color rgb="FFFF555A"/>
      </dataBar>
      <extLst>
        <ext xmlns:x14="http://schemas.microsoft.com/office/spreadsheetml/2009/9/main" uri="{B025F937-C7B1-47D3-B67F-A62EFF666E3E}">
          <x14:id>{4D752E27-DC2B-4AE5-BE91-DBBC973DDCA6}</x14:id>
        </ext>
      </extLst>
    </cfRule>
  </conditionalFormatting>
  <conditionalFormatting sqref="F2:F32">
    <cfRule type="containsText" dxfId="0" priority="1" operator="containsText" text="Electronics">
      <formula>NOT(ISERROR(SEARCH("Electronics",F2)))</formula>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4D752E27-DC2B-4AE5-BE91-DBBC973DDCA6}">
            <x14:dataBar minLength="0" maxLength="100" border="1" negativeBarBorderColorSameAsPositive="0">
              <x14:cfvo type="autoMin"/>
              <x14:cfvo type="autoMax"/>
              <x14:borderColor rgb="FFFF555A"/>
              <x14:negativeFillColor rgb="FFFF0000"/>
              <x14:negativeBorderColor rgb="FFFF0000"/>
              <x14:axisColor rgb="FF000000"/>
            </x14:dataBar>
          </x14:cfRule>
          <xm:sqref>D2:D32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suganthavk@gmail.com</cp:lastModifiedBy>
  <dcterms:modified xsi:type="dcterms:W3CDTF">2026-05-30T09:37:48Z</dcterms:modified>
</cp:coreProperties>
</file>